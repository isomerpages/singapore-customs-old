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cushsh01\Desktop\Customs-ROO\Administrative Role (TTSB)\"/>
    </mc:Choice>
  </mc:AlternateContent>
  <xr:revisionPtr revIDLastSave="0" documentId="13_ncr:1_{693608CF-C8ED-4A2C-A9F8-78A947188DC0}" xr6:coauthVersionLast="41" xr6:coauthVersionMax="41" xr10:uidLastSave="{00000000-0000-0000-0000-000000000000}"/>
  <bookViews>
    <workbookView xWindow="-110" yWindow="-110" windowWidth="19420" windowHeight="10420" activeTab="2" xr2:uid="{00000000-000D-0000-FFFF-FFFF00000000}"/>
  </bookViews>
  <sheets>
    <sheet name="Checklist &amp; Resources" sheetId="29" r:id="rId1"/>
    <sheet name="Detailed MCS Guide" sheetId="30" r:id="rId2"/>
    <sheet name="Manufacturing Cost Statement" sheetId="21" r:id="rId3"/>
    <sheet name="DMS &amp; Manufacturing Process" sheetId="27" r:id="rId4"/>
    <sheet name="Sheet2" sheetId="9" state="hidden" r:id="rId5"/>
    <sheet name="Sheet1" sheetId="12" state="hidden" r:id="rId6"/>
    <sheet name="Sheet3" sheetId="7" state="hidden" r:id="rId7"/>
    <sheet name="List of FTAs" sheetId="2" state="hidden" r:id="rId8"/>
    <sheet name="Sheet4" sheetId="13" state="hidden" r:id="rId9"/>
  </sheets>
  <definedNames>
    <definedName name="ASEAN_Trade_In_Goods_Agreement__ATIGA">#REF!</definedName>
    <definedName name="_xlnm.Print_Area" localSheetId="3">'DMS &amp; Manufacturing Process'!$A$1:$G$47</definedName>
    <definedName name="_xlnm.Print_Area" localSheetId="2">'Manufacturing Cost Statement'!$B$1:$J$67</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8" i="21" l="1"/>
  <c r="I35" i="21" l="1"/>
  <c r="H35" i="21" l="1"/>
  <c r="A24" i="2" l="1"/>
  <c r="C2" i="21"/>
  <c r="C19" i="21" l="1"/>
  <c r="E15" i="27" l="1"/>
  <c r="C42" i="21" l="1"/>
  <c r="C46" i="21" l="1"/>
  <c r="C40" i="21"/>
  <c r="C44" i="21"/>
  <c r="B19" i="27"/>
  <c r="B22"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Singapore Customs</author>
  </authors>
  <commentList>
    <comment ref="D7" authorId="0" shapeId="0" xr:uid="{00000000-0006-0000-0000-000001000000}">
      <text>
        <r>
          <rPr>
            <b/>
            <sz val="9"/>
            <color indexed="81"/>
            <rFont val="Tahoma"/>
            <family val="2"/>
          </rPr>
          <t>Singapore Customs:</t>
        </r>
        <r>
          <rPr>
            <sz val="9"/>
            <color indexed="81"/>
            <rFont val="Tahoma"/>
            <family val="2"/>
          </rPr>
          <t xml:space="preserve">
Product registration is based on 4-digit HS code of the item.
Please ensure you hold a valid manufacturer's registration for the particular product line (based on HS Heading).
If you do not have a valid manufacturer's registration, please proceed to submit a Manufacturer's Application or New Product Line Application first.</t>
        </r>
      </text>
    </comment>
    <comment ref="D9" authorId="0" shapeId="0" xr:uid="{00000000-0006-0000-0000-000002000000}">
      <text>
        <r>
          <rPr>
            <b/>
            <sz val="9"/>
            <color indexed="81"/>
            <rFont val="Tahoma"/>
            <family val="2"/>
          </rPr>
          <t>Singapore Customs:</t>
        </r>
        <r>
          <rPr>
            <sz val="9"/>
            <color indexed="81"/>
            <rFont val="Tahoma"/>
            <family val="2"/>
          </rPr>
          <t xml:space="preserve">
You may refer to Enterprise Singapore's website on Free Trade Agreements for more information on the available FTAs.</t>
        </r>
      </text>
    </comment>
    <comment ref="D11" authorId="0" shapeId="0" xr:uid="{00000000-0006-0000-0000-000003000000}">
      <text>
        <r>
          <rPr>
            <b/>
            <sz val="9"/>
            <color indexed="81"/>
            <rFont val="Tahoma"/>
            <family val="2"/>
          </rPr>
          <t>Singapore Customs:</t>
        </r>
        <r>
          <rPr>
            <sz val="9"/>
            <color indexed="81"/>
            <rFont val="Tahoma"/>
            <family val="2"/>
          </rPr>
          <t xml:space="preserve">
Generally, the origin criterion can be one or a combination of the following:
I) Regional Value Content (RVC)
ii) Change in Tariff Classification (CTC)
iii) Manufacturing Process
Please refer to the legal text of the agreement and Enterprise Singapore's website on Free Trade Agreements to determine the applicable origin criterion(a) for your product. You may wish to utilise the flowchart available on the Enterprise Singapore's website under Step 2 after selecting the respective FTAs to assist you.
You may also refer to the Handbook on Rules of Origin for Preferential Certificate of Origin (found under Resources) for more information on each type of origin criteria. </t>
        </r>
      </text>
    </comment>
    <comment ref="D13" authorId="0" shapeId="0" xr:uid="{00000000-0006-0000-0000-000004000000}">
      <text>
        <r>
          <rPr>
            <b/>
            <sz val="9"/>
            <color indexed="81"/>
            <rFont val="Tahoma"/>
            <family val="2"/>
          </rPr>
          <t xml:space="preserve">Singapore Customs:
</t>
        </r>
        <r>
          <rPr>
            <sz val="9"/>
            <color indexed="81"/>
            <rFont val="Tahoma"/>
            <family val="2"/>
          </rPr>
          <t xml:space="preserve">
For</t>
        </r>
        <r>
          <rPr>
            <b/>
            <u/>
            <sz val="9"/>
            <color indexed="81"/>
            <rFont val="Tahoma"/>
            <family val="2"/>
          </rPr>
          <t xml:space="preserve"> RVC</t>
        </r>
        <r>
          <rPr>
            <sz val="9"/>
            <color indexed="81"/>
            <rFont val="Tahoma"/>
            <family val="2"/>
          </rPr>
          <t xml:space="preserve">, you are not required to complete the HS code column for the raw materials in Annex 1.
For </t>
        </r>
        <r>
          <rPr>
            <b/>
            <u/>
            <sz val="9"/>
            <color indexed="81"/>
            <rFont val="Tahoma"/>
            <family val="2"/>
          </rPr>
          <t>CTC</t>
        </r>
        <r>
          <rPr>
            <sz val="9"/>
            <color indexed="81"/>
            <rFont val="Tahoma"/>
            <family val="2"/>
          </rPr>
          <t xml:space="preserve">, you are only required to complete the following columns in the Manufacturing Cost Statement:
I) Description of Materials;
ii) HS Code;
iii) Country/Region of Origin; and
iv) Name of Manufacturer.
For RVC + CTC, please complete the entire Manufacturing Cost Statement worksheet.
If you are using the </t>
        </r>
        <r>
          <rPr>
            <b/>
            <u/>
            <sz val="9"/>
            <color indexed="81"/>
            <rFont val="Tahoma"/>
            <family val="2"/>
          </rPr>
          <t>De Minimis</t>
        </r>
        <r>
          <rPr>
            <sz val="9"/>
            <color indexed="81"/>
            <rFont val="Tahoma"/>
            <family val="2"/>
          </rPr>
          <t xml:space="preserve"> Rule or the </t>
        </r>
        <r>
          <rPr>
            <b/>
            <u/>
            <sz val="9"/>
            <color indexed="81"/>
            <rFont val="Tahoma"/>
            <family val="2"/>
          </rPr>
          <t>Manufacturing Process Rule</t>
        </r>
        <r>
          <rPr>
            <sz val="9"/>
            <color indexed="81"/>
            <rFont val="Tahoma"/>
            <family val="2"/>
          </rPr>
          <t>, please fill up the 'DMS &amp; Manufacturing Process' worksheet with the relevant details.</t>
        </r>
      </text>
    </comment>
    <comment ref="D15" authorId="0" shapeId="0" xr:uid="{00000000-0006-0000-0000-000005000000}">
      <text>
        <r>
          <rPr>
            <b/>
            <sz val="9"/>
            <color indexed="81"/>
            <rFont val="Tahoma"/>
            <family val="2"/>
          </rPr>
          <t xml:space="preserve">Singapore Customs:
</t>
        </r>
        <r>
          <rPr>
            <sz val="9"/>
            <color indexed="81"/>
            <rFont val="Tahoma"/>
            <family val="2"/>
          </rPr>
          <t xml:space="preserve">
For </t>
        </r>
        <r>
          <rPr>
            <b/>
            <u/>
            <sz val="9"/>
            <color indexed="81"/>
            <rFont val="Tahoma"/>
            <family val="2"/>
          </rPr>
          <t>Manufacturing Process rule</t>
        </r>
        <r>
          <rPr>
            <sz val="9"/>
            <color indexed="81"/>
            <rFont val="Tahoma"/>
            <family val="2"/>
          </rPr>
          <t xml:space="preserve">, please complete the 'Manufacturing Process Criterion' section of the worksheet with the details and description of the manufacturing process of the good.
For the </t>
        </r>
        <r>
          <rPr>
            <b/>
            <u/>
            <sz val="9"/>
            <color indexed="81"/>
            <rFont val="Tahoma"/>
            <family val="2"/>
          </rPr>
          <t>De Minimis Rule</t>
        </r>
        <r>
          <rPr>
            <sz val="9"/>
            <color indexed="81"/>
            <rFont val="Tahoma"/>
            <family val="2"/>
          </rPr>
          <t xml:space="preserve">, 
only products using Change in Tariff Classification (CTC) under the ATIGA, ACFTA, AANZFTA, AJCEP, AKFTA, CSFTA, JSEPA and KSFTA are applicable. </t>
        </r>
      </text>
    </comment>
    <comment ref="D17" authorId="0" shapeId="0" xr:uid="{00000000-0006-0000-0000-000006000000}">
      <text>
        <r>
          <rPr>
            <b/>
            <sz val="9"/>
            <color indexed="81"/>
            <rFont val="Tahoma"/>
            <family val="2"/>
          </rPr>
          <t>Singapore Customs:</t>
        </r>
        <r>
          <rPr>
            <sz val="9"/>
            <color indexed="81"/>
            <rFont val="Tahoma"/>
            <family val="2"/>
          </rPr>
          <t xml:space="preserve">
If the originating material(s) are </t>
        </r>
        <r>
          <rPr>
            <b/>
            <u/>
            <sz val="9"/>
            <color indexed="81"/>
            <rFont val="Tahoma"/>
            <family val="2"/>
          </rPr>
          <t>local/Singapore origin</t>
        </r>
        <r>
          <rPr>
            <sz val="9"/>
            <color indexed="81"/>
            <rFont val="Tahoma"/>
            <family val="2"/>
          </rPr>
          <t xml:space="preserve">, please prepare the following documents:
I) </t>
        </r>
        <r>
          <rPr>
            <b/>
            <u/>
            <sz val="9"/>
            <color indexed="81"/>
            <rFont val="Tahoma"/>
            <family val="2"/>
          </rPr>
          <t>Supplier's Invoice</t>
        </r>
        <r>
          <rPr>
            <sz val="9"/>
            <color indexed="81"/>
            <rFont val="Tahoma"/>
            <family val="2"/>
          </rPr>
          <t xml:space="preserve">; and
ii) </t>
        </r>
        <r>
          <rPr>
            <b/>
            <u/>
            <sz val="9"/>
            <color indexed="81"/>
            <rFont val="Tahoma"/>
            <family val="2"/>
          </rPr>
          <t xml:space="preserve">Confirmation letter </t>
        </r>
        <r>
          <rPr>
            <sz val="9"/>
            <color indexed="81"/>
            <rFont val="Tahoma"/>
            <family val="2"/>
          </rPr>
          <t xml:space="preserve">from local manufacturer to ascertain the originating status of the material supplied (refer to page 29 of the Handbook on the Rules of Origin for Preferential Certificates of Origin for sample format)
--------- 
If the originating material(s) originate from parties of the agreement, please prepare the following documents:
I) </t>
        </r>
        <r>
          <rPr>
            <b/>
            <u/>
            <sz val="9"/>
            <color indexed="81"/>
            <rFont val="Tahoma"/>
            <family val="2"/>
          </rPr>
          <t>Preferential Certificate of Origin (PCO)</t>
        </r>
        <r>
          <rPr>
            <sz val="9"/>
            <color indexed="81"/>
            <rFont val="Tahoma"/>
            <family val="2"/>
          </rPr>
          <t xml:space="preserve"> issued by the issuing authority in that member state to ascertain the country/region of origin under the respective FTA or Scheme (e.g. Form D if you are applying the MCS under ATIGA, etc.); and
ii) </t>
        </r>
        <r>
          <rPr>
            <b/>
            <u/>
            <sz val="9"/>
            <color indexed="81"/>
            <rFont val="Tahoma"/>
            <family val="2"/>
          </rPr>
          <t>Supplier's Invoice</t>
        </r>
        <r>
          <rPr>
            <sz val="9"/>
            <color indexed="81"/>
            <rFont val="Tahoma"/>
            <family val="2"/>
          </rPr>
          <t xml:space="preserve"> if the PCO is not consigned to you.
---------
If you are unable to provide supporting documents, you may consider classifying the materials and components as non-originating. </t>
        </r>
      </text>
    </comment>
    <comment ref="D19" authorId="0" shapeId="0" xr:uid="{00000000-0006-0000-0000-000007000000}">
      <text>
        <r>
          <rPr>
            <b/>
            <sz val="9"/>
            <color indexed="81"/>
            <rFont val="Tahoma"/>
            <family val="2"/>
          </rPr>
          <t>Singapore Customs:</t>
        </r>
        <r>
          <rPr>
            <sz val="9"/>
            <color indexed="81"/>
            <rFont val="Tahoma"/>
            <family val="2"/>
          </rPr>
          <t xml:space="preserve">
There must minimally be 2 different declarants. 
The accountant of the company is required to acknowledge this document if the good qualifies via the 'Qualifying/Regional Value Content' criterion.</t>
        </r>
      </text>
    </comment>
    <comment ref="D22" authorId="0" shapeId="0" xr:uid="{00000000-0006-0000-0000-000008000000}">
      <text>
        <r>
          <rPr>
            <b/>
            <sz val="9"/>
            <color indexed="81"/>
            <rFont val="Tahoma"/>
            <family val="2"/>
          </rPr>
          <t xml:space="preserve">Singapore Customs:
</t>
        </r>
        <r>
          <rPr>
            <sz val="9"/>
            <color indexed="81"/>
            <rFont val="Tahoma"/>
            <family val="2"/>
          </rPr>
          <t xml:space="preserve">
To save the worksheets as a document PDF, please follow the following steps:
   1)Select 'file' and click on the 'print' option;
   2) Next, select the printer and select 'Microsoft Print to PDF'; and
   3) Follow the instructions and save the name of the PDF as "Name of FTA_Description of Good".
To zip the application with the worksheet, please follow the following steps:
   1) Create a folder with the title "Name of FTA_Description of Good" and place the MCS PDF and           supporting documents inside;
   2) Right click the folder, select 'send to' and click on 'Compressed (zipped) folder'; and
   3) A zipped folder with the extension ".zip" should be created in the same directory as the folder.
Each zipped file should only contain 1 application PDF and the relevant supporting documents. Multiple applications in 1 zipped file will be rejected by Singapore Customs.  
</t>
        </r>
      </text>
    </comment>
    <comment ref="D25" authorId="0" shapeId="0" xr:uid="{00000000-0006-0000-0000-000009000000}">
      <text>
        <r>
          <rPr>
            <b/>
            <sz val="9"/>
            <color indexed="81"/>
            <rFont val="Tahoma"/>
            <family val="2"/>
          </rPr>
          <t xml:space="preserve">Singapore Customs:
</t>
        </r>
        <r>
          <rPr>
            <sz val="9"/>
            <color indexed="81"/>
            <rFont val="Tahoma"/>
            <family val="2"/>
          </rPr>
          <t xml:space="preserve">
Hardcopy submissions of this Manufacturing Cost Statement format will not be accepted.
Clearly indicate in your email the number of sets of MCS submitted in the said email.
Should there be a need for a resubmission, please indicate clearly in the email with the subject </t>
        </r>
        <r>
          <rPr>
            <b/>
            <u/>
            <sz val="9"/>
            <color indexed="81"/>
            <rFont val="Tahoma"/>
            <family val="2"/>
          </rPr>
          <t>"[Resubmission]Name of company_UEN number_(Number of MCS:XX)</t>
        </r>
        <r>
          <rPr>
            <sz val="9"/>
            <color indexed="81"/>
            <rFont val="Tahoma"/>
            <family val="2"/>
          </rPr>
          <t xml:space="preserve">" and identify the previous email in the body of the email application.   
Please ensure you submit the complete and accurate MCS together with the relevant supporting documents electronically at </t>
        </r>
        <r>
          <rPr>
            <u/>
            <sz val="9"/>
            <color indexed="81"/>
            <rFont val="Tahoma"/>
            <family val="2"/>
          </rPr>
          <t>least 7 working days</t>
        </r>
        <r>
          <rPr>
            <sz val="9"/>
            <color indexed="81"/>
            <rFont val="Tahoma"/>
            <family val="2"/>
          </rPr>
          <t xml:space="preserve"> prior to your intended shipment.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Serene LIEW (CUSTOMS)</author>
  </authors>
  <commentList>
    <comment ref="B5" authorId="0" shapeId="0" xr:uid="{00000000-0006-0000-0300-000001000000}">
      <text>
        <r>
          <rPr>
            <sz val="9"/>
            <color indexed="81"/>
            <rFont val="Tahoma"/>
            <family val="2"/>
          </rPr>
          <t xml:space="preserve">This refers to those non-originating materials and components you have classified in Annex 1 </t>
        </r>
        <r>
          <rPr>
            <u/>
            <sz val="9"/>
            <color indexed="81"/>
            <rFont val="Tahoma"/>
            <family val="2"/>
          </rPr>
          <t>and</t>
        </r>
        <r>
          <rPr>
            <sz val="9"/>
            <color indexed="81"/>
            <rFont val="Tahoma"/>
            <family val="2"/>
          </rPr>
          <t xml:space="preserve"> which did not undergo a change in tariff classification. </t>
        </r>
      </text>
    </comment>
    <comment ref="C5" authorId="0" shapeId="0" xr:uid="{00000000-0006-0000-0300-000002000000}">
      <text>
        <r>
          <rPr>
            <sz val="9"/>
            <color indexed="81"/>
            <rFont val="Tahoma"/>
            <family val="2"/>
          </rPr>
          <t xml:space="preserve">Depending on the level of change for the HS Code (aka Change in Tariff Chapter, Heading, or Sub-heading level), please provide minimally the HS Codes of the non-originating materials or components </t>
        </r>
      </text>
    </comment>
    <comment ref="D5" authorId="0" shapeId="0" xr:uid="{00000000-0006-0000-0300-000003000000}">
      <text>
        <r>
          <rPr>
            <sz val="9"/>
            <color indexed="81"/>
            <rFont val="Tahoma"/>
            <family val="2"/>
          </rPr>
          <t xml:space="preserve">The country/region in which the non-originating material or component is manufactured. In the case where the country/region of origin is undetermined, please indicate “Foreign”. </t>
        </r>
      </text>
    </comment>
  </commentList>
</comments>
</file>

<file path=xl/sharedStrings.xml><?xml version="1.0" encoding="utf-8"?>
<sst xmlns="http://schemas.openxmlformats.org/spreadsheetml/2006/main" count="325" uniqueCount="245">
  <si>
    <t>Name of Manufacturer</t>
  </si>
  <si>
    <t>Ex-Works</t>
  </si>
  <si>
    <t xml:space="preserve">Free On Board </t>
  </si>
  <si>
    <t>Originating</t>
  </si>
  <si>
    <t>Total</t>
  </si>
  <si>
    <t>Direct Labour Cost</t>
  </si>
  <si>
    <t>Direct Overhead Cost</t>
  </si>
  <si>
    <t xml:space="preserve"> </t>
  </si>
  <si>
    <t>List of FTAs or Schemes</t>
  </si>
  <si>
    <t>Ordinary Scheme</t>
  </si>
  <si>
    <t>ASEAN Trade In Goods Agreement (ATIGA)</t>
  </si>
  <si>
    <t>ASEAN-Australia-New Zealand Free Trade Area (AANZFTA)</t>
  </si>
  <si>
    <t>Gulf Cooperation Council - Singapore Free Trade Agreement (GSFTA)</t>
  </si>
  <si>
    <t>ASEAN-China Free Trade Area (ACFTA)</t>
  </si>
  <si>
    <t>ASEAN-Japan Comprehensive Economic Partnership (AJCEP)</t>
  </si>
  <si>
    <t>ASEAN-Korea Free Trade Area (AKFTA)</t>
  </si>
  <si>
    <t>ASEAN-India Free Trade Area (AIFTA)</t>
  </si>
  <si>
    <t>China-Singapore Free Trade Area (CSFTA)</t>
  </si>
  <si>
    <t>Japan-Singapore Economic Partnership Agreement (JSEPA)</t>
  </si>
  <si>
    <t>Korea-Singapore Free Trade Agreement (KSFTA)</t>
  </si>
  <si>
    <t>Singapore-Jordan Free Trade Agreement (SJFTA)</t>
  </si>
  <si>
    <t>Peru-Singapore Free Trade Agreement (PeSFTA)</t>
  </si>
  <si>
    <t>Global System of Preferences (GSTP)</t>
  </si>
  <si>
    <t>Russia Generalised System of Preferences (GSP)</t>
  </si>
  <si>
    <t>India-Singapore Comprehensive Economic Cooperation Agreement (ISCECA)</t>
  </si>
  <si>
    <t>Value of the Good</t>
  </si>
  <si>
    <t>Please Choose</t>
  </si>
  <si>
    <t>Non-Originating</t>
  </si>
  <si>
    <t>Value of Materials (CIF)</t>
  </si>
  <si>
    <t>DETAILS OF MANUFACTURER</t>
  </si>
  <si>
    <t>MANUFACTURER'S DECLARATION</t>
  </si>
  <si>
    <t>Free Trade Agreement or Scheme</t>
  </si>
  <si>
    <t>TYPE OF FREE TRADE AGREEMENT OR SCHEME</t>
  </si>
  <si>
    <t>CHANGE IN TARIFF CLASSIFICATION &amp; QUALIFYING/REGIONAL VALUE CONTENT CRITERION</t>
  </si>
  <si>
    <t>DETAILS OF GOOD</t>
  </si>
  <si>
    <t>Description of Good</t>
  </si>
  <si>
    <t>Value of Good</t>
  </si>
  <si>
    <t>Value</t>
  </si>
  <si>
    <t>Weight</t>
  </si>
  <si>
    <t>Change in Tariff Sub-Subheading (CTSH)</t>
  </si>
  <si>
    <t>Change in Tariff Heading (CTH)</t>
  </si>
  <si>
    <t>Change in Chapter (CC)</t>
  </si>
  <si>
    <t>RESOURCES ON FREE TRADE AGREEMENT AND SCHEMES</t>
  </si>
  <si>
    <t>Free on Board</t>
  </si>
  <si>
    <t>Ex-works</t>
  </si>
  <si>
    <t>Ex-factory cost</t>
  </si>
  <si>
    <r>
      <t>Method C</t>
    </r>
    <r>
      <rPr>
        <i/>
        <sz val="14"/>
        <color theme="1"/>
        <rFont val="Calibri"/>
        <family val="2"/>
        <scheme val="minor"/>
      </rPr>
      <t xml:space="preserve"> (applicable for GSTP, Russia GSP)</t>
    </r>
  </si>
  <si>
    <t>Change in Tariff Sub-Heading (CTSH)</t>
  </si>
  <si>
    <r>
      <t>Other Cost</t>
    </r>
    <r>
      <rPr>
        <sz val="14"/>
        <color rgb="FFFF0000"/>
        <rFont val="Calibri"/>
        <family val="2"/>
        <scheme val="minor"/>
      </rPr>
      <t xml:space="preserve">* </t>
    </r>
    <r>
      <rPr>
        <i/>
        <sz val="14"/>
        <color theme="1"/>
        <rFont val="Calibri"/>
        <family val="2"/>
        <scheme val="minor"/>
      </rPr>
      <t xml:space="preserve">(required to specify for </t>
    </r>
    <r>
      <rPr>
        <b/>
        <i/>
        <sz val="14"/>
        <color theme="1"/>
        <rFont val="Calibri"/>
        <family val="2"/>
        <scheme val="minor"/>
      </rPr>
      <t>ATIGA</t>
    </r>
    <r>
      <rPr>
        <i/>
        <sz val="14"/>
        <color theme="1"/>
        <rFont val="Calibri"/>
        <family val="2"/>
        <scheme val="minor"/>
      </rPr>
      <t>,</t>
    </r>
    <r>
      <rPr>
        <b/>
        <i/>
        <sz val="14"/>
        <color theme="1"/>
        <rFont val="Calibri"/>
        <family val="2"/>
        <scheme val="minor"/>
      </rPr>
      <t>AANZFTA</t>
    </r>
    <r>
      <rPr>
        <i/>
        <sz val="14"/>
        <color theme="1"/>
        <rFont val="Calibri"/>
        <family val="2"/>
        <scheme val="minor"/>
      </rPr>
      <t>,</t>
    </r>
    <r>
      <rPr>
        <b/>
        <i/>
        <sz val="14"/>
        <color theme="1"/>
        <rFont val="Calibri"/>
        <family val="2"/>
        <scheme val="minor"/>
      </rPr>
      <t>A</t>
    </r>
    <r>
      <rPr>
        <b/>
        <i/>
        <sz val="14"/>
        <rFont val="Calibri"/>
        <family val="2"/>
        <scheme val="minor"/>
      </rPr>
      <t>IFTA</t>
    </r>
    <r>
      <rPr>
        <i/>
        <sz val="14"/>
        <rFont val="Calibri"/>
        <family val="2"/>
        <scheme val="minor"/>
      </rPr>
      <t>,</t>
    </r>
    <r>
      <rPr>
        <b/>
        <i/>
        <sz val="14"/>
        <rFont val="Calibri"/>
        <family val="2"/>
        <scheme val="minor"/>
      </rPr>
      <t>AKFTA</t>
    </r>
    <r>
      <rPr>
        <i/>
        <sz val="14"/>
        <color theme="1"/>
        <rFont val="Calibri"/>
        <family val="2"/>
        <scheme val="minor"/>
      </rPr>
      <t>&amp;</t>
    </r>
    <r>
      <rPr>
        <b/>
        <i/>
        <sz val="14"/>
        <color theme="1"/>
        <rFont val="Calibri"/>
        <family val="2"/>
        <scheme val="minor"/>
      </rPr>
      <t>ISCECA</t>
    </r>
    <r>
      <rPr>
        <i/>
        <sz val="14"/>
        <color theme="1"/>
        <rFont val="Calibri"/>
        <family val="2"/>
        <scheme val="minor"/>
      </rPr>
      <t xml:space="preserve"> only)</t>
    </r>
  </si>
  <si>
    <t>Please choose from the dropdown list</t>
  </si>
  <si>
    <t>Model (if any)</t>
  </si>
  <si>
    <t>Qualifying/Regional Value Content (QVC/RVC) Calculation</t>
  </si>
  <si>
    <t>HS Code
(Required only for Change in Tariff Classification)</t>
  </si>
  <si>
    <t>2.</t>
  </si>
  <si>
    <t>1.</t>
  </si>
  <si>
    <t>4.</t>
  </si>
  <si>
    <r>
      <t>Profit</t>
    </r>
    <r>
      <rPr>
        <sz val="14"/>
        <color rgb="FFFF0000"/>
        <rFont val="Calibri"/>
        <family val="2"/>
        <scheme val="minor"/>
      </rPr>
      <t>*</t>
    </r>
    <r>
      <rPr>
        <sz val="14"/>
        <color theme="1"/>
        <rFont val="Calibri"/>
        <family val="2"/>
        <scheme val="minor"/>
      </rPr>
      <t xml:space="preserve"> </t>
    </r>
    <r>
      <rPr>
        <i/>
        <sz val="14"/>
        <color theme="1"/>
        <rFont val="Calibri"/>
        <family val="2"/>
        <scheme val="minor"/>
      </rPr>
      <t xml:space="preserve">(not required to specify for </t>
    </r>
    <r>
      <rPr>
        <b/>
        <i/>
        <sz val="14"/>
        <color theme="1"/>
        <rFont val="Calibri"/>
        <family val="2"/>
        <scheme val="minor"/>
      </rPr>
      <t>Ordinary Scheme</t>
    </r>
    <r>
      <rPr>
        <i/>
        <sz val="14"/>
        <color theme="1"/>
        <rFont val="Calibri"/>
        <family val="2"/>
        <scheme val="minor"/>
      </rPr>
      <t>)</t>
    </r>
  </si>
  <si>
    <t xml:space="preserve">ASEAN Trade In Goods Agreement </t>
  </si>
  <si>
    <t>ASEAN-China Free Trade Area</t>
  </si>
  <si>
    <t xml:space="preserve">ASEAN-Australia-New Zealand Free Trade Area </t>
  </si>
  <si>
    <t xml:space="preserve">ASEAN-Japan Comprehensive Economic Partnership </t>
  </si>
  <si>
    <t xml:space="preserve">ASEAN-Korea Free Trade Area </t>
  </si>
  <si>
    <t xml:space="preserve">ASEAN-India Free Trade Area </t>
  </si>
  <si>
    <t xml:space="preserve">China-Singapore Free Trade Area </t>
  </si>
  <si>
    <t xml:space="preserve">India-Singapore Comprehensive Economic Cooperation Agreement </t>
  </si>
  <si>
    <t>Gulf Cooperation Council - Singapore Free Trade Agreement</t>
  </si>
  <si>
    <t xml:space="preserve">Japan-Singapore Economic Partnership Agreement </t>
  </si>
  <si>
    <t>CHECKLIST FOR COMPLETING THE MANUFACTURING COST STATEMENT (MCS)</t>
  </si>
  <si>
    <t>NOTE</t>
  </si>
  <si>
    <t xml:space="preserve">3. </t>
  </si>
  <si>
    <t>Singapore's Free Trade Agreements</t>
  </si>
  <si>
    <t>Manufacturer's Application Form</t>
  </si>
  <si>
    <t xml:space="preserve">Handbook on rules of origin for preferential Certificates of Origin </t>
  </si>
  <si>
    <t>Legal text of Free Trade Agreements</t>
  </si>
  <si>
    <t>Handbook on rules of origin for Schemes of Preference</t>
  </si>
  <si>
    <t>Singapore Trade Classification, Customs and Excise Duties (STCCED)</t>
  </si>
  <si>
    <r>
      <t xml:space="preserve">Check that you have a valid </t>
    </r>
    <r>
      <rPr>
        <b/>
        <u/>
        <sz val="12"/>
        <color theme="1"/>
        <rFont val="Calibri"/>
        <family val="2"/>
        <scheme val="minor"/>
      </rPr>
      <t>manufacturer's registration</t>
    </r>
    <r>
      <rPr>
        <b/>
        <sz val="12"/>
        <color theme="1"/>
        <rFont val="Calibri"/>
        <family val="2"/>
        <scheme val="minor"/>
      </rPr>
      <t xml:space="preserve"> for the item you wish to prepare the MCS for.</t>
    </r>
  </si>
  <si>
    <t>Direct Link to the respective FTAs</t>
  </si>
  <si>
    <r>
      <t xml:space="preserve">Check that all required </t>
    </r>
    <r>
      <rPr>
        <b/>
        <u/>
        <sz val="12"/>
        <color theme="1"/>
        <rFont val="Calibri"/>
        <family val="2"/>
        <scheme val="minor"/>
      </rPr>
      <t>supporting document(s)</t>
    </r>
    <r>
      <rPr>
        <b/>
        <sz val="12"/>
        <color theme="1"/>
        <rFont val="Calibri"/>
        <family val="2"/>
        <scheme val="minor"/>
      </rPr>
      <t xml:space="preserve"> for originating materials are in place.</t>
    </r>
  </si>
  <si>
    <t xml:space="preserve">If you are unable to provide supporting documents, you may consider classifying the materials and components as non-originating. </t>
  </si>
  <si>
    <t>&gt;</t>
  </si>
  <si>
    <t>Product registration is based on 4-digit HS code (i.e. HS Heading) of the item.</t>
  </si>
  <si>
    <t>Please ensure you hold a valid manufacturer's registration for the particular product line (based on HS Heading).</t>
  </si>
  <si>
    <t>If you do not have a valid manufacturer's registration, please proceed to submit a Manufacturer's Application or New Product Line Application first.</t>
  </si>
  <si>
    <t xml:space="preserve">&gt; </t>
  </si>
  <si>
    <t>i)</t>
  </si>
  <si>
    <t xml:space="preserve">You may also refer to the Handbook on Rules of Origin for Preferential Certificate of Origin for more information on each type of origin criteria. </t>
  </si>
  <si>
    <t>Description of Materials;</t>
  </si>
  <si>
    <t xml:space="preserve">   i) </t>
  </si>
  <si>
    <t>HS Code;</t>
  </si>
  <si>
    <t xml:space="preserve">  ii) </t>
  </si>
  <si>
    <t xml:space="preserve"> iii) </t>
  </si>
  <si>
    <t>Name of Manufacturer.</t>
  </si>
  <si>
    <t xml:space="preserve"> iv) </t>
  </si>
  <si>
    <t>Supplier's Invoice if the PCO is not consigned to you.</t>
  </si>
  <si>
    <r>
      <rPr>
        <b/>
        <i/>
        <sz val="12"/>
        <color theme="1"/>
        <rFont val="Calibri"/>
        <family val="2"/>
        <scheme val="minor"/>
      </rPr>
      <t>Supplier's Invoice</t>
    </r>
    <r>
      <rPr>
        <i/>
        <sz val="12"/>
        <color theme="1"/>
        <rFont val="Calibri"/>
        <family val="2"/>
        <scheme val="minor"/>
      </rPr>
      <t>; and</t>
    </r>
  </si>
  <si>
    <r>
      <t xml:space="preserve">If the originating material(s) </t>
    </r>
    <r>
      <rPr>
        <b/>
        <i/>
        <u/>
        <sz val="12"/>
        <color theme="1"/>
        <rFont val="Calibri"/>
        <family val="2"/>
        <scheme val="minor"/>
      </rPr>
      <t>originate from parties of the agreement</t>
    </r>
    <r>
      <rPr>
        <i/>
        <sz val="12"/>
        <color theme="1"/>
        <rFont val="Calibri"/>
        <family val="2"/>
        <scheme val="minor"/>
      </rPr>
      <t>, please prepare the following documents:</t>
    </r>
  </si>
  <si>
    <t>1)</t>
  </si>
  <si>
    <t>2)</t>
  </si>
  <si>
    <t>3)</t>
  </si>
  <si>
    <t>4)</t>
  </si>
  <si>
    <t>5)</t>
  </si>
  <si>
    <t>6)</t>
  </si>
  <si>
    <t>7)</t>
  </si>
  <si>
    <t>8)</t>
  </si>
  <si>
    <t>9)</t>
  </si>
  <si>
    <t>customs_mcs@customs.gov.sg</t>
  </si>
  <si>
    <t xml:space="preserve">        Change in Tariff Classification </t>
  </si>
  <si>
    <t xml:space="preserve">        Manufacturing Process</t>
  </si>
  <si>
    <t xml:space="preserve">        Qualifying/ Regional Value Content </t>
  </si>
  <si>
    <t>HS Code</t>
  </si>
  <si>
    <t>Date of Cost Statement</t>
  </si>
  <si>
    <t>Sri Lanka-Singapore Free Trade Agreement (SLSFTA)</t>
  </si>
  <si>
    <t xml:space="preserve">Type of Change in Tariff Classification </t>
  </si>
  <si>
    <t>Please choose from 
the dropdown list</t>
  </si>
  <si>
    <t>Description of Non-originating 
Materials or Components</t>
  </si>
  <si>
    <t>De Minimis 
Calculation based on</t>
  </si>
  <si>
    <t/>
  </si>
  <si>
    <t>Change in Tariff Chapter (CTC)</t>
  </si>
  <si>
    <t xml:space="preserve">Value </t>
  </si>
  <si>
    <r>
      <t xml:space="preserve">CALCULATION FOR DE MINIMIS PERCENTAGE </t>
    </r>
    <r>
      <rPr>
        <i/>
        <sz val="14"/>
        <color theme="1"/>
        <rFont val="Calibri"/>
        <family val="2"/>
        <scheme val="minor"/>
      </rPr>
      <t xml:space="preserve">
</t>
    </r>
  </si>
  <si>
    <t>Method A (based on value)</t>
  </si>
  <si>
    <t>=</t>
  </si>
  <si>
    <t>Method B (based on weight)</t>
  </si>
  <si>
    <t xml:space="preserve">Method C (based on weight) </t>
  </si>
  <si>
    <t>MANUFACTURING PROCESS CRITERION</t>
  </si>
  <si>
    <r>
      <t xml:space="preserve">Description of the manufacturing process that the good underwent, with references to the materials and components used. </t>
    </r>
    <r>
      <rPr>
        <i/>
        <sz val="14"/>
        <rFont val="Calibri"/>
        <family val="2"/>
        <scheme val="minor"/>
      </rPr>
      <t>(Applicable only for products using the Manufacturing Process Criterion)</t>
    </r>
  </si>
  <si>
    <t>Approved/Not Approved</t>
  </si>
  <si>
    <t>No.</t>
  </si>
  <si>
    <t>HS Code (6 Digits)</t>
  </si>
  <si>
    <t>Approved By:</t>
  </si>
  <si>
    <t>Date Approved:</t>
  </si>
  <si>
    <t>Declaration by Managing Director/ Authorised Senior Management</t>
  </si>
  <si>
    <t>Declaration by Accountant (Required only if QVC/RVC is used)</t>
  </si>
  <si>
    <t>Name:</t>
  </si>
  <si>
    <t>Position:</t>
  </si>
  <si>
    <t>(This is an electronically submitted document. No Signature is required.)</t>
  </si>
  <si>
    <t>Date:</t>
  </si>
  <si>
    <t>Declaration by Applicant who completed this document</t>
  </si>
  <si>
    <t xml:space="preserve">Contact Number of Applicant </t>
  </si>
  <si>
    <t xml:space="preserve">Email of Applicant </t>
  </si>
  <si>
    <t>Please ensure that the information provided in this document is declared to be true and correct by the Managing Director/ Authorised Senior Management, the applicant, and the Accountant if the good qualifies via the Qualifying/Regional Value Content criterion.</t>
  </si>
  <si>
    <t>DETAILED GUIDE ON FILLING UP A MANUFACTURING COST STATEMENT (MCS)</t>
  </si>
  <si>
    <t xml:space="preserve">Back to Checklist </t>
  </si>
  <si>
    <r>
      <t>Ensure all</t>
    </r>
    <r>
      <rPr>
        <b/>
        <u/>
        <sz val="12"/>
        <color theme="1"/>
        <rFont val="Calibri"/>
        <family val="2"/>
        <scheme val="minor"/>
      </rPr>
      <t xml:space="preserve"> information </t>
    </r>
    <r>
      <rPr>
        <b/>
        <sz val="12"/>
        <color theme="1"/>
        <rFont val="Calibri"/>
        <family val="2"/>
        <scheme val="minor"/>
      </rPr>
      <t xml:space="preserve">in the worksheets are </t>
    </r>
    <r>
      <rPr>
        <b/>
        <u/>
        <sz val="12"/>
        <color theme="1"/>
        <rFont val="Calibri"/>
        <family val="2"/>
        <scheme val="minor"/>
      </rPr>
      <t>accurate</t>
    </r>
    <r>
      <rPr>
        <b/>
        <sz val="12"/>
        <color theme="1"/>
        <rFont val="Calibri"/>
        <family val="2"/>
        <scheme val="minor"/>
      </rPr>
      <t xml:space="preserve"> and </t>
    </r>
    <r>
      <rPr>
        <b/>
        <u/>
        <sz val="12"/>
        <color theme="1"/>
        <rFont val="Calibri"/>
        <family val="2"/>
        <scheme val="minor"/>
      </rPr>
      <t>declare</t>
    </r>
    <r>
      <rPr>
        <b/>
        <sz val="12"/>
        <color theme="1"/>
        <rFont val="Calibri"/>
        <family val="2"/>
        <scheme val="minor"/>
      </rPr>
      <t xml:space="preserve"> in the relevant boxes in the 'Manufacturing Cost Statement' worksheet.</t>
    </r>
  </si>
  <si>
    <t xml:space="preserve">There must minimally be 2 different declarants. No single person shall acknowledge all declarations in this documents. </t>
  </si>
  <si>
    <t xml:space="preserve">Email your application to </t>
  </si>
  <si>
    <t>Hardcopy submissions of this Manufacturing Cost Statement format will not be accepted.</t>
  </si>
  <si>
    <t xml:space="preserve">. Submissions to other emails will be rejected. </t>
  </si>
  <si>
    <r>
      <t xml:space="preserve">Clearly indicate in your email the </t>
    </r>
    <r>
      <rPr>
        <b/>
        <i/>
        <sz val="12"/>
        <color theme="1"/>
        <rFont val="Calibri"/>
        <family val="2"/>
        <scheme val="minor"/>
      </rPr>
      <t xml:space="preserve">number of sets of MCS </t>
    </r>
    <r>
      <rPr>
        <i/>
        <sz val="12"/>
        <color theme="1"/>
        <rFont val="Calibri"/>
        <family val="2"/>
        <scheme val="minor"/>
      </rPr>
      <t xml:space="preserve"> submitted in the said email.</t>
    </r>
  </si>
  <si>
    <r>
      <t xml:space="preserve">For </t>
    </r>
    <r>
      <rPr>
        <b/>
        <i/>
        <u/>
        <sz val="12"/>
        <color theme="1"/>
        <rFont val="Calibri"/>
        <family val="2"/>
        <scheme val="minor"/>
      </rPr>
      <t>Manufacturing Process rule</t>
    </r>
    <r>
      <rPr>
        <i/>
        <sz val="12"/>
        <color theme="1"/>
        <rFont val="Calibri"/>
        <family val="2"/>
        <scheme val="minor"/>
      </rPr>
      <t>, please complete the 'DMS &amp; Manufacturing Process' worksheet with the details and description of the manufacturing process of the good. The 'Manufacturing Cost Statement' worksheet is still required.</t>
    </r>
  </si>
  <si>
    <r>
      <t xml:space="preserve">To save the worksheets as a </t>
    </r>
    <r>
      <rPr>
        <i/>
        <u/>
        <sz val="12"/>
        <color theme="1"/>
        <rFont val="Calibri"/>
        <family val="2"/>
        <scheme val="minor"/>
      </rPr>
      <t>document PDF</t>
    </r>
    <r>
      <rPr>
        <i/>
        <sz val="12"/>
        <color theme="1"/>
        <rFont val="Calibri"/>
        <family val="2"/>
        <scheme val="minor"/>
      </rPr>
      <t>, please follow the following steps:</t>
    </r>
  </si>
  <si>
    <t xml:space="preserve">   1)Select 'file' and click on the 'print' option;</t>
  </si>
  <si>
    <t xml:space="preserve">Picture PDFs submitted to Singapore Customs will be rejected. </t>
  </si>
  <si>
    <t>To zip the application with the worksheet, please follow the following steps (for Windows operating systems only):</t>
  </si>
  <si>
    <t xml:space="preserve">   2) Next, select the printer and select 'Microsoft Print to PDF'; and</t>
  </si>
  <si>
    <t xml:space="preserve">   1) Create a folder with the title "Name of FTA_Description of Good" and place the MCS PDF and supporting documents inside;</t>
  </si>
  <si>
    <t xml:space="preserve">   2) Right click the folder, select 'send to' and click on 'Compressed (zipped) folder'; and</t>
  </si>
  <si>
    <t xml:space="preserve">   3) Follow the instructions and save the name of the PDF as "Name of FTA_Description of Good".</t>
  </si>
  <si>
    <t>You may also use third-party software to zip the file provided that the extension is ".zip".</t>
  </si>
  <si>
    <t xml:space="preserve">   3) A zipped folder with the extension ".zip" should be created in the same directory as the folder.</t>
  </si>
  <si>
    <r>
      <t xml:space="preserve">For </t>
    </r>
    <r>
      <rPr>
        <b/>
        <i/>
        <u/>
        <sz val="12"/>
        <color theme="1"/>
        <rFont val="Calibri"/>
        <family val="2"/>
        <scheme val="minor"/>
      </rPr>
      <t>Manufacturing Process rule</t>
    </r>
    <r>
      <rPr>
        <i/>
        <sz val="12"/>
        <color theme="1"/>
        <rFont val="Calibri"/>
        <family val="2"/>
        <scheme val="minor"/>
      </rPr>
      <t>, please complete the 'Manufacturing Process Criterion' section of the worksheet with the details and description of the manufacturing process of the good.</t>
    </r>
  </si>
  <si>
    <r>
      <t xml:space="preserve">For De Minimis based on </t>
    </r>
    <r>
      <rPr>
        <i/>
        <u/>
        <sz val="12"/>
        <color theme="1"/>
        <rFont val="Calibri"/>
        <family val="2"/>
        <scheme val="minor"/>
      </rPr>
      <t>value</t>
    </r>
    <r>
      <rPr>
        <i/>
        <sz val="12"/>
        <color theme="1"/>
        <rFont val="Calibri"/>
        <family val="2"/>
        <scheme val="minor"/>
      </rPr>
      <t xml:space="preserve">, you are required to complete all fields and columns except the 'weight the good'. Please also ensure that the 'Value of Good' field in the 'Manufacturing Cost Statement' worksheet is completed. </t>
    </r>
  </si>
  <si>
    <r>
      <t xml:space="preserve">For De Minimis based on </t>
    </r>
    <r>
      <rPr>
        <i/>
        <u/>
        <sz val="12"/>
        <color theme="1"/>
        <rFont val="Calibri"/>
        <family val="2"/>
        <scheme val="minor"/>
      </rPr>
      <t>weight</t>
    </r>
    <r>
      <rPr>
        <i/>
        <sz val="12"/>
        <color theme="1"/>
        <rFont val="Calibri"/>
        <family val="2"/>
        <scheme val="minor"/>
      </rPr>
      <t>, you are required to complete all fields and columns.</t>
    </r>
  </si>
  <si>
    <r>
      <t xml:space="preserve">If the originating material(s) are </t>
    </r>
    <r>
      <rPr>
        <b/>
        <i/>
        <u/>
        <sz val="12"/>
        <color theme="1"/>
        <rFont val="Calibri"/>
        <family val="2"/>
        <scheme val="minor"/>
      </rPr>
      <t>local/Singapore origin</t>
    </r>
    <r>
      <rPr>
        <i/>
        <sz val="12"/>
        <color theme="1"/>
        <rFont val="Calibri"/>
        <family val="2"/>
        <scheme val="minor"/>
      </rPr>
      <t>, please prepare the following documents:</t>
    </r>
  </si>
  <si>
    <r>
      <rPr>
        <b/>
        <sz val="12"/>
        <color theme="1"/>
        <rFont val="Calibri"/>
        <family val="2"/>
        <scheme val="minor"/>
      </rPr>
      <t xml:space="preserve">Save the completed worksheets in this document as a </t>
    </r>
    <r>
      <rPr>
        <b/>
        <u/>
        <sz val="12"/>
        <color theme="1"/>
        <rFont val="Calibri"/>
        <family val="2"/>
        <scheme val="minor"/>
      </rPr>
      <t>single document PDF</t>
    </r>
    <r>
      <rPr>
        <b/>
        <sz val="12"/>
        <color theme="1"/>
        <rFont val="Calibri"/>
        <family val="2"/>
        <scheme val="minor"/>
      </rPr>
      <t xml:space="preserve"> titled " </t>
    </r>
    <r>
      <rPr>
        <b/>
        <i/>
        <sz val="12"/>
        <color theme="1"/>
        <rFont val="Calibri"/>
        <family val="2"/>
        <scheme val="minor"/>
      </rPr>
      <t>Name of FTA_Description of Good</t>
    </r>
    <r>
      <rPr>
        <b/>
        <sz val="12"/>
        <color theme="1"/>
        <rFont val="Calibri"/>
        <family val="2"/>
        <scheme val="minor"/>
      </rPr>
      <t>" and zip it with the relevant supporting documents (if any) to a zipped file (extension ".zip") titled "</t>
    </r>
    <r>
      <rPr>
        <b/>
        <i/>
        <sz val="12"/>
        <color theme="1"/>
        <rFont val="Calibri"/>
        <family val="2"/>
        <scheme val="minor"/>
      </rPr>
      <t>Name of FTA_Description of Good</t>
    </r>
    <r>
      <rPr>
        <b/>
        <sz val="12"/>
        <color theme="1"/>
        <rFont val="Calibri"/>
        <family val="2"/>
        <scheme val="minor"/>
      </rPr>
      <t xml:space="preserve">". </t>
    </r>
  </si>
  <si>
    <t xml:space="preserve">Each zipped file should only contain 1 application PDF and the relevant supporting documents. Multiple applications in 1 zipped file will be rejected by Singapore Customs.  </t>
  </si>
  <si>
    <r>
      <t xml:space="preserve">Please ensure you submit the complete and accurate MCS together with the relevant supporting documents electronically </t>
    </r>
    <r>
      <rPr>
        <b/>
        <i/>
        <sz val="12"/>
        <color theme="1"/>
        <rFont val="Calibri"/>
        <family val="2"/>
        <scheme val="minor"/>
      </rPr>
      <t>at least 7 working days</t>
    </r>
    <r>
      <rPr>
        <i/>
        <sz val="12"/>
        <color theme="1"/>
        <rFont val="Calibri"/>
        <family val="2"/>
        <scheme val="minor"/>
      </rPr>
      <t xml:space="preserve"> prior to your intended shipment.</t>
    </r>
  </si>
  <si>
    <t>The accountant is required to acknowledge this document if the good qualifies via the 'Qualifying/Regional Value Content' criterion.</t>
  </si>
  <si>
    <t xml:space="preserve">Origin Criteria </t>
  </si>
  <si>
    <t xml:space="preserve">For Official Use Only: </t>
  </si>
  <si>
    <t xml:space="preserve">Do note that incomplete submissions and submissions with irrelevant supporting documents will delay the verification process and will require a fresh submission to Singapore Customs. </t>
  </si>
  <si>
    <r>
      <rPr>
        <b/>
        <u/>
        <sz val="14"/>
        <color rgb="FFFF0000"/>
        <rFont val="Calibri"/>
        <family val="2"/>
        <scheme val="minor"/>
      </rPr>
      <t>NOTE:</t>
    </r>
    <r>
      <rPr>
        <sz val="14"/>
        <color rgb="FFFF0000"/>
        <rFont val="Calibri"/>
        <family val="2"/>
        <scheme val="minor"/>
      </rPr>
      <t xml:space="preserve">
You may insert more rows should the number of rows be insufficient for your product.</t>
    </r>
  </si>
  <si>
    <r>
      <rPr>
        <b/>
        <u/>
        <sz val="14"/>
        <color rgb="FFFF0000"/>
        <rFont val="Calibri"/>
        <family val="2"/>
        <scheme val="minor"/>
      </rPr>
      <t>NOTE:</t>
    </r>
    <r>
      <rPr>
        <sz val="14"/>
        <color rgb="FFFF0000"/>
        <rFont val="Calibri"/>
        <family val="2"/>
        <scheme val="minor"/>
      </rPr>
      <t xml:space="preserve">
For local materials to qualify as originating, please provide a confirmation letter and invoice from the local supplier.</t>
    </r>
    <r>
      <rPr>
        <sz val="11"/>
        <color rgb="FFFF0000"/>
        <rFont val="Calibri"/>
        <family val="2"/>
        <scheme val="minor"/>
      </rPr>
      <t xml:space="preserve">
 </t>
    </r>
    <r>
      <rPr>
        <sz val="14"/>
        <color rgb="FFFF0000"/>
        <rFont val="Calibri"/>
        <family val="2"/>
        <scheme val="minor"/>
      </rPr>
      <t>To cumulate materials from a party within the agreement, please provide the relevant Preferential Certificate of Origin and the invoice from the supplier.</t>
    </r>
  </si>
  <si>
    <r>
      <t>Method C</t>
    </r>
    <r>
      <rPr>
        <i/>
        <sz val="14"/>
        <color rgb="FFFF0000"/>
        <rFont val="Calibri"/>
        <family val="2"/>
        <scheme val="minor"/>
      </rPr>
      <t xml:space="preserve"> (applicable for GSTP, Russia GSP)</t>
    </r>
  </si>
  <si>
    <t xml:space="preserve">I confirm that the costing and values provided in this document is true and correct. I undertake that I am liable for any false information made on this document and undertake to maintain up-to-date costing records. </t>
  </si>
  <si>
    <r>
      <t xml:space="preserve">I confirm that the last production process of the good is carried out in Singapore and certify that the information on this document is true and correct. I undertake that we are liable for any false information made on this document. I permit, as and when required, inspection of our factory/good by Singapore Customs and undertake to maintain up-to-date costing records. 
                                                        </t>
    </r>
    <r>
      <rPr>
        <i/>
        <sz val="13"/>
        <color theme="1"/>
        <rFont val="Calibri"/>
        <family val="2"/>
        <scheme val="minor"/>
      </rPr>
      <t xml:space="preserve"> </t>
    </r>
  </si>
  <si>
    <r>
      <t xml:space="preserve">I confirm that the last production process of the good is carried out in Singapore and certify that the information on this document is true and correct. I undertake that I are liable for any false information made on this document. I permit, as and when required, inspection of our factory/good by Singapore Customs and undertake to maintain up-to-date costing records. 
                                                        </t>
    </r>
    <r>
      <rPr>
        <i/>
        <sz val="13"/>
        <color theme="1"/>
        <rFont val="Calibri"/>
        <family val="2"/>
        <scheme val="minor"/>
      </rPr>
      <t xml:space="preserve"> </t>
    </r>
  </si>
  <si>
    <t xml:space="preserve"> Qualifying/Regional Value Content (QVC/RVC) Calculation</t>
  </si>
  <si>
    <t xml:space="preserve">NOTE: </t>
  </si>
  <si>
    <t>No. of Units MCS is Based on</t>
  </si>
  <si>
    <t>Currency Type used in MCS</t>
  </si>
  <si>
    <r>
      <t xml:space="preserve">ORIGIN CRITERION(A)
</t>
    </r>
    <r>
      <rPr>
        <i/>
        <sz val="14"/>
        <color theme="1"/>
        <rFont val="Calibri"/>
        <family val="2"/>
        <scheme val="minor"/>
      </rPr>
      <t xml:space="preserve">(check the boxes in accordance to the origin criterion(a) you wish for your good to qualify under)
</t>
    </r>
  </si>
  <si>
    <t xml:space="preserve">You may refer to Enterprise Singapore's website on Free Trade Agreements for more information on the available FTAs.  </t>
  </si>
  <si>
    <r>
      <t xml:space="preserve">Total Weight of Good </t>
    </r>
    <r>
      <rPr>
        <i/>
        <sz val="14"/>
        <color theme="1"/>
        <rFont val="Calibri"/>
        <family val="2"/>
        <scheme val="minor"/>
      </rPr>
      <t>(if applicable)</t>
    </r>
  </si>
  <si>
    <r>
      <rPr>
        <b/>
        <u/>
        <sz val="14"/>
        <color rgb="FFFF0000"/>
        <rFont val="Calibri"/>
        <family val="2"/>
        <scheme val="minor"/>
      </rPr>
      <t>Note:</t>
    </r>
    <r>
      <rPr>
        <sz val="14"/>
        <color rgb="FFFF0000"/>
        <rFont val="Calibri"/>
        <family val="2"/>
        <scheme val="minor"/>
      </rPr>
      <t xml:space="preserve"> 
If you are not applying the De Minimis Rule or the Manufacturing Process Criterion, you do not need to submit this worksheet to Singapore Customs. </t>
    </r>
  </si>
  <si>
    <t>Note:</t>
  </si>
  <si>
    <t>Incoterm of FTA</t>
  </si>
  <si>
    <t>Please complete the checklist as you complete your MCS</t>
  </si>
  <si>
    <t>For a Detailed Guide on how to complete your MCS, please refer to the 'Detailed MCS Guide' Worksheet</t>
  </si>
  <si>
    <t xml:space="preserve"> (MCS)</t>
  </si>
  <si>
    <t>ü</t>
  </si>
  <si>
    <t>CALCULATION OF QUALIFYING/REGIONAL VALUE CONTENT (QVC/RVC)</t>
  </si>
  <si>
    <r>
      <rPr>
        <b/>
        <u/>
        <sz val="14"/>
        <color rgb="FFFF0000"/>
        <rFont val="Calibri"/>
        <family val="2"/>
        <scheme val="minor"/>
      </rPr>
      <t>NOTE:</t>
    </r>
    <r>
      <rPr>
        <sz val="14"/>
        <color rgb="FFFF0000"/>
        <rFont val="Calibri"/>
        <family val="2"/>
        <scheme val="minor"/>
      </rPr>
      <t xml:space="preserve">
Do not amend or copy out the format into another document as there are formulas to facilitate the completion of the MCS.  </t>
    </r>
  </si>
  <si>
    <r>
      <t xml:space="preserve"> Identify the </t>
    </r>
    <r>
      <rPr>
        <b/>
        <u/>
        <sz val="12"/>
        <rFont val="Calibri"/>
        <family val="2"/>
        <scheme val="minor"/>
      </rPr>
      <t>Free Trade Agreement (FTA)/ Scheme</t>
    </r>
    <r>
      <rPr>
        <b/>
        <sz val="12"/>
        <rFont val="Calibri"/>
        <family val="2"/>
        <scheme val="minor"/>
      </rPr>
      <t xml:space="preserve"> you wish to export your good under</t>
    </r>
  </si>
  <si>
    <t>Please refer to the legal text of the agreement and Enterprise Singapore's website on Free Trade Agreements to determine the applicable origin criterion(a) for your good. You may wish to utilise the flowcharts available on the Enterprise Singapore's website under Step 2 after selecting the respective FTAs to assist you.</t>
  </si>
  <si>
    <t xml:space="preserve">Please refer to the legal text of the agreement and Enterprise Singapore's website on Free Trade Agreements to determine the De Minimis Calculation and threshold of the good. </t>
  </si>
  <si>
    <t>For goods qualifying via the Change in Tariff Classification criterion, we may request information on materials and components which you have identified as non-originating under the "Manufacturing Cost Statement' worksheet. This information may include: Technical data sheets; Manufacturing process; Catalogues, Pictures; Material safety data sheets; and Certificates of analysis.</t>
  </si>
  <si>
    <t xml:space="preserve">Manufacturers shall update Singapore Customs on the originating status of the good and your costing on a yearly basis or when there are variations in your prices, costs, sources of materials used etc., whichever earlier, by submitting a fresh copy of the Manufacturing Cost Statement to Singapore Customs. </t>
  </si>
  <si>
    <t>Generally, the origin criterion is one of the following:</t>
  </si>
  <si>
    <t>iii)</t>
  </si>
  <si>
    <t xml:space="preserve">   iv) </t>
  </si>
  <si>
    <t xml:space="preserve"> ii)</t>
  </si>
  <si>
    <r>
      <t>Complete the '</t>
    </r>
    <r>
      <rPr>
        <b/>
        <u/>
        <sz val="12"/>
        <color theme="1"/>
        <rFont val="Calibri"/>
        <family val="2"/>
        <scheme val="minor"/>
      </rPr>
      <t>DMS &amp; Manufacturing Process</t>
    </r>
    <r>
      <rPr>
        <b/>
        <sz val="12"/>
        <color theme="1"/>
        <rFont val="Calibri"/>
        <family val="2"/>
        <scheme val="minor"/>
      </rPr>
      <t xml:space="preserve">' worksheet, if applicable. </t>
    </r>
  </si>
  <si>
    <t>S/N</t>
  </si>
  <si>
    <r>
      <t xml:space="preserve">Description of </t>
    </r>
    <r>
      <rPr>
        <u/>
        <sz val="14"/>
        <color theme="1"/>
        <rFont val="Calibri"/>
        <family val="2"/>
        <scheme val="minor"/>
      </rPr>
      <t>ALL</t>
    </r>
    <r>
      <rPr>
        <sz val="14"/>
        <color theme="1"/>
        <rFont val="Calibri"/>
        <family val="2"/>
        <scheme val="minor"/>
      </rPr>
      <t xml:space="preserve"> Materials and Components
(Please provide a generic description of the materials and components)</t>
    </r>
  </si>
  <si>
    <t>Regional Value Content (RVC);</t>
  </si>
  <si>
    <t>Change in Tariff Classification (CTC);</t>
  </si>
  <si>
    <t>Manufacturing Process.</t>
  </si>
  <si>
    <t>Tick the relevant box(es) that correspond(s) to the origin criterion of your good.</t>
  </si>
  <si>
    <t>Ext Num (If any)</t>
  </si>
  <si>
    <t>Unique Entity Number (UEN)</t>
  </si>
  <si>
    <t xml:space="preserve">Complete the 'Manufacturing Cost Statement' worksheet based on the applicable origin criterion(a) for the good.  </t>
  </si>
  <si>
    <r>
      <t xml:space="preserve">For </t>
    </r>
    <r>
      <rPr>
        <b/>
        <i/>
        <u/>
        <sz val="12"/>
        <color theme="1"/>
        <rFont val="Calibri"/>
        <family val="2"/>
        <scheme val="minor"/>
      </rPr>
      <t>Regional Value Content (RVC)</t>
    </r>
    <r>
      <rPr>
        <i/>
        <sz val="12"/>
        <color theme="1"/>
        <rFont val="Calibri"/>
        <family val="2"/>
        <scheme val="minor"/>
      </rPr>
      <t>, you are not required to complete the HS code column for the raw materials under the "Change in Tariff Classification &amp; Qualifying/Regional Value Content Criterion" section in the 'Manufacturing Cost Statement' worksheet.</t>
    </r>
  </si>
  <si>
    <r>
      <t xml:space="preserve">For </t>
    </r>
    <r>
      <rPr>
        <b/>
        <i/>
        <u/>
        <sz val="12"/>
        <color theme="1"/>
        <rFont val="Calibri"/>
        <family val="2"/>
        <scheme val="minor"/>
      </rPr>
      <t>Change in Tariff Classification (CTC)</t>
    </r>
    <r>
      <rPr>
        <i/>
        <sz val="12"/>
        <color theme="1"/>
        <rFont val="Calibri"/>
        <family val="2"/>
        <scheme val="minor"/>
      </rPr>
      <t>, you are only required to complete the following column under the "Change in Tariff Classification &amp; Qualifying/Regional Value Content Criterion" section in the 'Manufacturing Cost Statement' worksheet:</t>
    </r>
  </si>
  <si>
    <t>Identify and indicate the applicable origin criterion(a) for the good under the identified FTA.</t>
  </si>
  <si>
    <t>Regional Value Content (RVC) + Change in Tariff Classification (CTC) (Combination Rule); or</t>
  </si>
  <si>
    <r>
      <t xml:space="preserve">For </t>
    </r>
    <r>
      <rPr>
        <b/>
        <i/>
        <u/>
        <sz val="12"/>
        <color theme="1"/>
        <rFont val="Calibri"/>
        <family val="2"/>
        <scheme val="minor"/>
      </rPr>
      <t>RVC + CTC (Combination Rule)</t>
    </r>
    <r>
      <rPr>
        <i/>
        <sz val="12"/>
        <color theme="1"/>
        <rFont val="Calibri"/>
        <family val="2"/>
        <scheme val="minor"/>
      </rPr>
      <t xml:space="preserve">, please complete the entire 'Manufacturing Cost Statement' worksheet. </t>
    </r>
  </si>
  <si>
    <r>
      <t xml:space="preserve">For </t>
    </r>
    <r>
      <rPr>
        <b/>
        <i/>
        <u/>
        <sz val="12"/>
        <color theme="1"/>
        <rFont val="Calibri"/>
        <family val="2"/>
        <scheme val="minor"/>
      </rPr>
      <t>all Origin Criterions</t>
    </r>
    <r>
      <rPr>
        <i/>
        <sz val="12"/>
        <color theme="1"/>
        <rFont val="Calibri"/>
        <family val="2"/>
        <scheme val="minor"/>
      </rPr>
      <t>, insert and complete the details of your good under the "Details of Good" in the 'Manufacturing Cost Statement' worksheet.</t>
    </r>
  </si>
  <si>
    <r>
      <t xml:space="preserve">Check that you have a valid </t>
    </r>
    <r>
      <rPr>
        <u/>
        <sz val="12"/>
        <color theme="1"/>
        <rFont val="Calibri"/>
        <family val="2"/>
        <scheme val="minor"/>
      </rPr>
      <t>manufacturer's registration</t>
    </r>
    <r>
      <rPr>
        <sz val="12"/>
        <color theme="1"/>
        <rFont val="Calibri"/>
        <family val="2"/>
        <scheme val="minor"/>
      </rPr>
      <t xml:space="preserve"> for the item you wish to prepare the MCS for.      *</t>
    </r>
  </si>
  <si>
    <r>
      <t xml:space="preserve">Identify the </t>
    </r>
    <r>
      <rPr>
        <u/>
        <sz val="12"/>
        <color theme="1"/>
        <rFont val="Calibri"/>
        <family val="2"/>
        <scheme val="minor"/>
      </rPr>
      <t>Free Trade Agreement (FTA)/ Scheme</t>
    </r>
    <r>
      <rPr>
        <sz val="12"/>
        <color theme="1"/>
        <rFont val="Calibri"/>
        <family val="2"/>
        <scheme val="minor"/>
      </rPr>
      <t xml:space="preserve"> you wish to export your good under.    *</t>
    </r>
  </si>
  <si>
    <r>
      <rPr>
        <u/>
        <sz val="12"/>
        <color theme="1"/>
        <rFont val="Calibri"/>
        <family val="2"/>
        <scheme val="minor"/>
      </rPr>
      <t>Identify and indicate</t>
    </r>
    <r>
      <rPr>
        <sz val="12"/>
        <color theme="1"/>
        <rFont val="Calibri"/>
        <family val="2"/>
        <scheme val="minor"/>
      </rPr>
      <t xml:space="preserve"> the applicable origin criterion(a) for the good under the identified FTA.        *</t>
    </r>
  </si>
  <si>
    <r>
      <t>Complete the</t>
    </r>
    <r>
      <rPr>
        <u/>
        <sz val="12"/>
        <color theme="1"/>
        <rFont val="Calibri"/>
        <family val="2"/>
        <scheme val="minor"/>
      </rPr>
      <t xml:space="preserve"> 'Manufacturing Cost Statement' </t>
    </r>
    <r>
      <rPr>
        <sz val="12"/>
        <color theme="1"/>
        <rFont val="Calibri"/>
        <family val="2"/>
        <scheme val="minor"/>
      </rPr>
      <t>worksheet based on the applicable origin criterion(a) for the good.*</t>
    </r>
  </si>
  <si>
    <r>
      <t xml:space="preserve">Complete the </t>
    </r>
    <r>
      <rPr>
        <u/>
        <sz val="12"/>
        <color theme="1"/>
        <rFont val="Calibri"/>
        <family val="2"/>
        <scheme val="minor"/>
      </rPr>
      <t xml:space="preserve">'DMS &amp; Manufacturing Process' worksheet, </t>
    </r>
    <r>
      <rPr>
        <sz val="12"/>
        <color theme="1"/>
        <rFont val="Calibri"/>
        <family val="2"/>
        <scheme val="minor"/>
      </rPr>
      <t>if applicable. *</t>
    </r>
  </si>
  <si>
    <r>
      <t xml:space="preserve">Check that all required </t>
    </r>
    <r>
      <rPr>
        <u/>
        <sz val="12"/>
        <color theme="1"/>
        <rFont val="Calibri"/>
        <family val="2"/>
        <scheme val="minor"/>
      </rPr>
      <t>supporting document(s)</t>
    </r>
    <r>
      <rPr>
        <sz val="12"/>
        <color theme="1"/>
        <rFont val="Calibri"/>
        <family val="2"/>
        <scheme val="minor"/>
      </rPr>
      <t xml:space="preserve"> for </t>
    </r>
    <r>
      <rPr>
        <u/>
        <sz val="12"/>
        <color theme="1"/>
        <rFont val="Calibri"/>
        <family val="2"/>
        <scheme val="minor"/>
      </rPr>
      <t>originating materials</t>
    </r>
    <r>
      <rPr>
        <sz val="12"/>
        <color theme="1"/>
        <rFont val="Calibri"/>
        <family val="2"/>
        <scheme val="minor"/>
      </rPr>
      <t xml:space="preserve"> are in place.     *</t>
    </r>
  </si>
  <si>
    <t xml:space="preserve">Ensure all information in the worksheet(s) are accurately filled before declaring in the relevant boxes under the "Manufacturer's Declaration"   * 
section of the 'Manufacturing Cost Statement' worksheet.     </t>
  </si>
  <si>
    <r>
      <t xml:space="preserve">Save the completed worksheets in this document as a </t>
    </r>
    <r>
      <rPr>
        <u/>
        <sz val="12"/>
        <rFont val="Calibri"/>
        <family val="2"/>
        <scheme val="minor"/>
      </rPr>
      <t>single document PDF</t>
    </r>
    <r>
      <rPr>
        <sz val="12"/>
        <rFont val="Calibri"/>
        <family val="2"/>
        <scheme val="minor"/>
      </rPr>
      <t xml:space="preserve"> titled " </t>
    </r>
    <r>
      <rPr>
        <b/>
        <sz val="12"/>
        <rFont val="Calibri"/>
        <family val="2"/>
        <scheme val="minor"/>
      </rPr>
      <t>Name of FTA_Description of Good</t>
    </r>
    <r>
      <rPr>
        <sz val="12"/>
        <rFont val="Calibri"/>
        <family val="2"/>
        <scheme val="minor"/>
      </rPr>
      <t xml:space="preserve">" and zip it with the       * 
relevant supporting documents (if any) to a zipped file (extension ".zip") titled </t>
    </r>
    <r>
      <rPr>
        <b/>
        <sz val="12"/>
        <rFont val="Calibri"/>
        <family val="2"/>
        <scheme val="minor"/>
      </rPr>
      <t>"Name of FTA_Description of Good"</t>
    </r>
    <r>
      <rPr>
        <sz val="12"/>
        <rFont val="Calibri"/>
        <family val="2"/>
        <scheme val="minor"/>
      </rPr>
      <t xml:space="preserve">. </t>
    </r>
  </si>
  <si>
    <r>
      <rPr>
        <u/>
        <sz val="12"/>
        <color theme="1"/>
        <rFont val="Calibri"/>
        <family val="2"/>
        <scheme val="minor"/>
      </rPr>
      <t>Submit</t>
    </r>
    <r>
      <rPr>
        <sz val="12"/>
        <color theme="1"/>
        <rFont val="Calibri"/>
        <family val="2"/>
        <scheme val="minor"/>
      </rPr>
      <t xml:space="preserve"> the</t>
    </r>
    <r>
      <rPr>
        <b/>
        <sz val="12"/>
        <color theme="1"/>
        <rFont val="Calibri"/>
        <family val="2"/>
        <scheme val="minor"/>
      </rPr>
      <t xml:space="preserve"> completed and duly declared worksheet(s) </t>
    </r>
    <r>
      <rPr>
        <sz val="12"/>
        <color theme="1"/>
        <rFont val="Calibri"/>
        <family val="2"/>
        <scheme val="minor"/>
      </rPr>
      <t xml:space="preserve">together with the </t>
    </r>
    <r>
      <rPr>
        <b/>
        <sz val="12"/>
        <color theme="1"/>
        <rFont val="Calibri"/>
        <family val="2"/>
        <scheme val="minor"/>
      </rPr>
      <t>relevant supporting documents</t>
    </r>
    <r>
      <rPr>
        <sz val="12"/>
        <color theme="1"/>
        <rFont val="Calibri"/>
        <family val="2"/>
        <scheme val="minor"/>
      </rPr>
      <t>, if any, via email with the subject  * 
"</t>
    </r>
    <r>
      <rPr>
        <b/>
        <sz val="12"/>
        <color theme="1"/>
        <rFont val="Calibri"/>
        <family val="2"/>
        <scheme val="minor"/>
      </rPr>
      <t>Name of company_UEN number_DD/MM/YYYY_(Number of MCS:XX)</t>
    </r>
    <r>
      <rPr>
        <sz val="12"/>
        <color theme="1"/>
        <rFont val="Calibri"/>
        <family val="2"/>
        <scheme val="minor"/>
      </rPr>
      <t xml:space="preserve">" to Singapore Customs at Customs_MCS@customs.gov.sg at least </t>
    </r>
    <r>
      <rPr>
        <b/>
        <sz val="12"/>
        <color theme="1"/>
        <rFont val="Calibri"/>
        <family val="2"/>
        <scheme val="minor"/>
      </rPr>
      <t>7 working days</t>
    </r>
    <r>
      <rPr>
        <sz val="12"/>
        <color theme="1"/>
        <rFont val="Calibri"/>
        <family val="2"/>
        <scheme val="minor"/>
      </rPr>
      <t xml:space="preserve"> before your intended shipment. </t>
    </r>
    <r>
      <rPr>
        <b/>
        <sz val="12"/>
        <color theme="1"/>
        <rFont val="Calibri"/>
        <family val="2"/>
        <scheme val="minor"/>
      </rPr>
      <t xml:space="preserve">
</t>
    </r>
  </si>
  <si>
    <r>
      <rPr>
        <b/>
        <u/>
        <sz val="12"/>
        <color theme="1"/>
        <rFont val="Calibri"/>
        <family val="2"/>
        <scheme val="minor"/>
      </rPr>
      <t>Submit</t>
    </r>
    <r>
      <rPr>
        <b/>
        <sz val="12"/>
        <color theme="1"/>
        <rFont val="Calibri"/>
        <family val="2"/>
        <scheme val="minor"/>
      </rPr>
      <t xml:space="preserve"> the</t>
    </r>
    <r>
      <rPr>
        <b/>
        <i/>
        <sz val="12"/>
        <color theme="1"/>
        <rFont val="Calibri"/>
        <family val="2"/>
        <scheme val="minor"/>
      </rPr>
      <t xml:space="preserve"> completed</t>
    </r>
    <r>
      <rPr>
        <b/>
        <sz val="12"/>
        <color theme="1"/>
        <rFont val="Calibri"/>
        <family val="2"/>
        <scheme val="minor"/>
      </rPr>
      <t xml:space="preserve"> and </t>
    </r>
    <r>
      <rPr>
        <b/>
        <i/>
        <sz val="12"/>
        <color theme="1"/>
        <rFont val="Calibri"/>
        <family val="2"/>
        <scheme val="minor"/>
      </rPr>
      <t>duly declared</t>
    </r>
    <r>
      <rPr>
        <b/>
        <sz val="12"/>
        <color theme="1"/>
        <rFont val="Calibri"/>
        <family val="2"/>
        <scheme val="minor"/>
      </rPr>
      <t xml:space="preserve"> </t>
    </r>
    <r>
      <rPr>
        <b/>
        <i/>
        <sz val="12"/>
        <color theme="1"/>
        <rFont val="Calibri"/>
        <family val="2"/>
        <scheme val="minor"/>
      </rPr>
      <t>worksheets</t>
    </r>
    <r>
      <rPr>
        <b/>
        <sz val="12"/>
        <color theme="1"/>
        <rFont val="Calibri"/>
        <family val="2"/>
        <scheme val="minor"/>
      </rPr>
      <t xml:space="preserve"> together with the </t>
    </r>
    <r>
      <rPr>
        <b/>
        <i/>
        <sz val="12"/>
        <color theme="1"/>
        <rFont val="Calibri"/>
        <family val="2"/>
        <scheme val="minor"/>
      </rPr>
      <t>relevant supporting documents</t>
    </r>
    <r>
      <rPr>
        <b/>
        <sz val="12"/>
        <color theme="1"/>
        <rFont val="Calibri"/>
        <family val="2"/>
        <scheme val="minor"/>
      </rPr>
      <t>, if any, via email with the subject "</t>
    </r>
    <r>
      <rPr>
        <b/>
        <i/>
        <sz val="12"/>
        <color theme="1"/>
        <rFont val="Calibri"/>
        <family val="2"/>
        <scheme val="minor"/>
      </rPr>
      <t>Name of company_UEN number_DD/MM/YYYY_(Number of MCS:XX)</t>
    </r>
    <r>
      <rPr>
        <b/>
        <sz val="12"/>
        <color theme="1"/>
        <rFont val="Calibri"/>
        <family val="2"/>
        <scheme val="minor"/>
      </rPr>
      <t xml:space="preserve">" to Singapore Customs at </t>
    </r>
    <r>
      <rPr>
        <b/>
        <i/>
        <u/>
        <sz val="12"/>
        <color theme="1"/>
        <rFont val="Calibri"/>
        <family val="2"/>
        <scheme val="minor"/>
      </rPr>
      <t>Customs_MCS@customs.gov.sg</t>
    </r>
    <r>
      <rPr>
        <b/>
        <sz val="12"/>
        <color theme="1"/>
        <rFont val="Calibri"/>
        <family val="2"/>
        <scheme val="minor"/>
      </rPr>
      <t xml:space="preserve"> at </t>
    </r>
    <r>
      <rPr>
        <b/>
        <u/>
        <sz val="12"/>
        <color theme="1"/>
        <rFont val="Calibri"/>
        <family val="2"/>
        <scheme val="minor"/>
      </rPr>
      <t>least 7 working days</t>
    </r>
    <r>
      <rPr>
        <b/>
        <sz val="12"/>
        <color theme="1"/>
        <rFont val="Calibri"/>
        <family val="2"/>
        <scheme val="minor"/>
      </rPr>
      <t xml:space="preserve"> before your intended shipment. </t>
    </r>
  </si>
  <si>
    <r>
      <t>Should there be a need for a resubmission, please indicate clearly in the email with the subject "</t>
    </r>
    <r>
      <rPr>
        <b/>
        <i/>
        <sz val="12"/>
        <color theme="1"/>
        <rFont val="Calibri"/>
        <family val="2"/>
        <scheme val="minor"/>
      </rPr>
      <t>[Resubmission]Name of company_UEN number_DD/MM/YYYY_(Number of MCS:XX)</t>
    </r>
    <r>
      <rPr>
        <i/>
        <sz val="12"/>
        <color theme="1"/>
        <rFont val="Calibri"/>
        <family val="2"/>
        <scheme val="minor"/>
      </rPr>
      <t xml:space="preserve">" and identify the previous email in the body of the email application.   </t>
    </r>
  </si>
  <si>
    <r>
      <rPr>
        <b/>
        <u/>
        <sz val="14"/>
        <color rgb="FFFF0000"/>
        <rFont val="Calibri"/>
        <family val="2"/>
        <scheme val="minor"/>
      </rPr>
      <t>NOTE:</t>
    </r>
    <r>
      <rPr>
        <sz val="14"/>
        <color rgb="FFFF0000"/>
        <rFont val="Calibri"/>
        <family val="2"/>
        <scheme val="minor"/>
      </rPr>
      <t xml:space="preserve">
Date should be indicated as DD/MM/YYYY</t>
    </r>
  </si>
  <si>
    <t>ASEAN-Hong Kong Free Trade Agreement (AHKFTA)</t>
  </si>
  <si>
    <r>
      <t>Method A (</t>
    </r>
    <r>
      <rPr>
        <i/>
        <sz val="14"/>
        <color theme="1"/>
        <rFont val="Calibri"/>
        <family val="2"/>
        <scheme val="minor"/>
      </rPr>
      <t>applicable for ATIGA, AANZFTA, AHKFTA, AIFTA, AKFTA, ISCECA,GSTP, Ordinary Scheme)</t>
    </r>
  </si>
  <si>
    <r>
      <t>Method B</t>
    </r>
    <r>
      <rPr>
        <i/>
        <sz val="14"/>
        <color theme="1"/>
        <rFont val="Calibri"/>
        <family val="2"/>
        <scheme val="minor"/>
      </rPr>
      <t xml:space="preserve"> (applicable for ACFTA, AHKFTA, AJCEP, CSFTA, ISCECA, GSFTA, JSEPA, SJFTA,SLSFTA, PeSFTA, KSFTA)</t>
    </r>
  </si>
  <si>
    <t>Method B (applicable for ACFTA, AHKFTA, AJCEP, CSFTA, ISCECA, GSFTA, JSEPA, SJFTA, SLSFTA, PeSFTA, KSFTA)</t>
  </si>
  <si>
    <r>
      <t xml:space="preserve">Method A </t>
    </r>
    <r>
      <rPr>
        <i/>
        <sz val="14"/>
        <color rgb="FFFF0000"/>
        <rFont val="Calibri"/>
        <family val="2"/>
        <scheme val="minor"/>
      </rPr>
      <t>(applicable for ATIGA, AANZFTA, AHKFTA, AIFTA, AKFTA, ISCECA,GSTP, Ordinary Scheme)</t>
    </r>
  </si>
  <si>
    <t>ASEAN-Hong Kong Free Trade Agreement</t>
  </si>
  <si>
    <t>Country/Region of Origin; and</t>
  </si>
  <si>
    <r>
      <rPr>
        <b/>
        <i/>
        <sz val="12"/>
        <color theme="1"/>
        <rFont val="Calibri"/>
        <family val="2"/>
        <scheme val="minor"/>
      </rPr>
      <t xml:space="preserve">Preferential Certificate of Origin (PCO) </t>
    </r>
    <r>
      <rPr>
        <i/>
        <sz val="12"/>
        <color theme="1"/>
        <rFont val="Calibri"/>
        <family val="2"/>
        <scheme val="minor"/>
      </rPr>
      <t>issued by the issuing authority in that member state to ascertain the country/region of origin under the respective FTA or Scheme (e.g. Form D if you are applying the MCS under ATIGA, etc.); and</t>
    </r>
  </si>
  <si>
    <t>Country/Region of Origin</t>
  </si>
  <si>
    <t xml:space="preserve">For the De Minimis Rule, only goods using Change in Tariff Classification (CTC) under the ATIGA, ACFTA, AANZFTA, AJCEP, AKFTA, CSFTA, JSEPA and KSFTA are applicable. </t>
  </si>
  <si>
    <r>
      <t xml:space="preserve">DE MINIMIS RULE FOR CHANGE IN TARIFF CLASSIFICATION CRITERION
</t>
    </r>
    <r>
      <rPr>
        <i/>
        <sz val="14"/>
        <color theme="1"/>
        <rFont val="Calibri"/>
        <family val="2"/>
        <scheme val="minor"/>
      </rPr>
      <t>(applicable only for ATIGA, ACFTA, AANZFTA, AHKFTA, AJCEP, AKFTA, CSFTA, JSEPA, KSFTA)</t>
    </r>
  </si>
  <si>
    <r>
      <rPr>
        <b/>
        <i/>
        <sz val="12"/>
        <color theme="1"/>
        <rFont val="Calibri"/>
        <family val="2"/>
        <scheme val="minor"/>
      </rPr>
      <t xml:space="preserve">Confirmation letter </t>
    </r>
    <r>
      <rPr>
        <i/>
        <sz val="12"/>
        <color theme="1"/>
        <rFont val="Calibri"/>
        <family val="2"/>
        <scheme val="minor"/>
      </rPr>
      <t>from local manufacturer to ascertain the originating status of the material supplied (refer to page 29 of the Handbook on the Rules of Origin for Preferential Certificates of Origin for sample format).</t>
    </r>
  </si>
  <si>
    <t xml:space="preserve"> For goods qualifying under the Qualifying/Regional Value Content criterion, the costing provided in this document should be based on actual cost incurred by your company for the production of the good. Projections or averaged cost incurred are not allowed. </t>
  </si>
  <si>
    <t>Name of Manufacturer 
(required only if the material is originating and if the country is Singapore)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</si>
</sst>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quot;$&quot;#,##0.000"/>
    <numFmt numFmtId="166" formatCode="[$-14809]d/m/yyyy;@"/>
  </numFmts>
  <fonts count="45"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1"/>
      <name val="Calibri"/>
      <family val="2"/>
      <scheme val="minor"/>
    </font>
    <font>
      <u/>
      <sz val="9"/>
      <color indexed="81"/>
      <name val="Tahoma"/>
      <family val="2"/>
    </font>
    <font>
      <sz val="14"/>
      <color theme="1"/>
      <name val="Calibri"/>
      <family val="2"/>
      <scheme val="minor"/>
    </font>
    <font>
      <i/>
      <sz val="14"/>
      <color theme="1"/>
      <name val="Calibri"/>
      <family val="2"/>
      <scheme val="minor"/>
    </font>
    <font>
      <b/>
      <sz val="14"/>
      <color theme="1"/>
      <name val="Calibri"/>
      <family val="2"/>
      <scheme val="minor"/>
    </font>
    <font>
      <sz val="14"/>
      <name val="Calibri"/>
      <family val="2"/>
      <scheme val="minor"/>
    </font>
    <font>
      <sz val="14"/>
      <color rgb="FFFF0000"/>
      <name val="Calibri"/>
      <family val="2"/>
      <scheme val="minor"/>
    </font>
    <font>
      <b/>
      <u/>
      <sz val="14"/>
      <color theme="1"/>
      <name val="Calibri"/>
      <family val="2"/>
      <scheme val="minor"/>
    </font>
    <font>
      <u/>
      <sz val="14"/>
      <color theme="10"/>
      <name val="Calibri"/>
      <family val="2"/>
      <scheme val="minor"/>
    </font>
    <font>
      <i/>
      <sz val="14"/>
      <name val="Calibri"/>
      <family val="2"/>
      <scheme val="minor"/>
    </font>
    <font>
      <b/>
      <i/>
      <sz val="14"/>
      <color theme="1"/>
      <name val="Calibri"/>
      <family val="2"/>
      <scheme val="minor"/>
    </font>
    <font>
      <b/>
      <i/>
      <sz val="14"/>
      <name val="Calibri"/>
      <family val="2"/>
      <scheme val="minor"/>
    </font>
    <font>
      <b/>
      <sz val="12"/>
      <color theme="1"/>
      <name val="Calibri"/>
      <family val="2"/>
      <scheme val="minor"/>
    </font>
    <font>
      <sz val="12"/>
      <name val="Calibri"/>
      <family val="2"/>
      <scheme val="minor"/>
    </font>
    <font>
      <u/>
      <sz val="12"/>
      <color theme="10"/>
      <name val="Calibri"/>
      <family val="2"/>
      <scheme val="minor"/>
    </font>
    <font>
      <b/>
      <u/>
      <sz val="12"/>
      <color theme="1"/>
      <name val="Calibri"/>
      <family val="2"/>
      <scheme val="minor"/>
    </font>
    <font>
      <u/>
      <sz val="12"/>
      <color theme="1"/>
      <name val="Calibri"/>
      <family val="2"/>
      <scheme val="minor"/>
    </font>
    <font>
      <sz val="12"/>
      <color theme="1"/>
      <name val="Symbol"/>
      <family val="1"/>
      <charset val="2"/>
    </font>
    <font>
      <b/>
      <u/>
      <sz val="9"/>
      <color indexed="81"/>
      <name val="Tahoma"/>
      <family val="2"/>
    </font>
    <font>
      <b/>
      <sz val="12"/>
      <name val="Calibri"/>
      <family val="2"/>
      <scheme val="minor"/>
    </font>
    <font>
      <b/>
      <u/>
      <sz val="12"/>
      <name val="Calibri"/>
      <family val="2"/>
      <scheme val="minor"/>
    </font>
    <font>
      <i/>
      <sz val="12"/>
      <name val="Calibri"/>
      <family val="2"/>
      <scheme val="minor"/>
    </font>
    <font>
      <i/>
      <sz val="12"/>
      <color theme="1"/>
      <name val="Calibri"/>
      <family val="2"/>
      <scheme val="minor"/>
    </font>
    <font>
      <i/>
      <u/>
      <sz val="12"/>
      <color theme="10"/>
      <name val="Calibri"/>
      <family val="2"/>
      <scheme val="minor"/>
    </font>
    <font>
      <i/>
      <u/>
      <sz val="12"/>
      <color theme="1"/>
      <name val="Calibri"/>
      <family val="2"/>
      <scheme val="minor"/>
    </font>
    <font>
      <b/>
      <i/>
      <u/>
      <sz val="12"/>
      <color theme="1"/>
      <name val="Calibri"/>
      <family val="2"/>
      <scheme val="minor"/>
    </font>
    <font>
      <b/>
      <i/>
      <sz val="12"/>
      <color theme="1"/>
      <name val="Calibri"/>
      <family val="2"/>
      <scheme val="minor"/>
    </font>
    <font>
      <sz val="13"/>
      <color theme="1"/>
      <name val="Calibri"/>
      <family val="2"/>
      <scheme val="minor"/>
    </font>
    <font>
      <i/>
      <sz val="13"/>
      <color theme="1"/>
      <name val="Calibri"/>
      <family val="2"/>
      <scheme val="minor"/>
    </font>
    <font>
      <sz val="11"/>
      <color theme="10"/>
      <name val="Calibri"/>
      <family val="2"/>
      <scheme val="minor"/>
    </font>
    <font>
      <i/>
      <u/>
      <sz val="11"/>
      <color theme="10"/>
      <name val="Calibri"/>
      <family val="2"/>
      <scheme val="minor"/>
    </font>
    <font>
      <u/>
      <sz val="12"/>
      <name val="Calibri"/>
      <family val="2"/>
      <scheme val="minor"/>
    </font>
    <font>
      <sz val="11"/>
      <color rgb="FFFF0000"/>
      <name val="Calibri"/>
      <family val="2"/>
      <scheme val="minor"/>
    </font>
    <font>
      <b/>
      <u/>
      <sz val="14"/>
      <color rgb="FFFF0000"/>
      <name val="Calibri"/>
      <family val="2"/>
      <scheme val="minor"/>
    </font>
    <font>
      <i/>
      <sz val="14"/>
      <color rgb="FFFF0000"/>
      <name val="Calibri"/>
      <family val="2"/>
      <scheme val="minor"/>
    </font>
    <font>
      <sz val="12"/>
      <color rgb="FFFF0000"/>
      <name val="Calibri"/>
      <family val="2"/>
      <scheme val="minor"/>
    </font>
    <font>
      <b/>
      <sz val="14"/>
      <color rgb="FFFF0000"/>
      <name val="Calibri"/>
      <family val="2"/>
      <scheme val="minor"/>
    </font>
    <font>
      <sz val="11"/>
      <color theme="1"/>
      <name val="Wingdings"/>
      <charset val="2"/>
    </font>
    <font>
      <u/>
      <sz val="14"/>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DDDDDD"/>
        <bgColor indexed="64"/>
      </patternFill>
    </fill>
  </fills>
  <borders count="101">
    <border>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dotted">
        <color indexed="64"/>
      </right>
      <top style="dotted">
        <color indexed="64"/>
      </top>
      <bottom style="thin">
        <color indexed="64"/>
      </bottom>
      <diagonal/>
    </border>
    <border>
      <left/>
      <right/>
      <top style="dotted">
        <color indexed="64"/>
      </top>
      <bottom/>
      <diagonal/>
    </border>
    <border>
      <left/>
      <right style="dotted">
        <color indexed="64"/>
      </right>
      <top style="dotted">
        <color indexed="64"/>
      </top>
      <bottom/>
      <diagonal/>
    </border>
    <border>
      <left style="hair">
        <color auto="1"/>
      </left>
      <right/>
      <top style="hair">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auto="1"/>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bottom style="hair">
        <color auto="1"/>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style="thin">
        <color indexed="64"/>
      </left>
      <right/>
      <top/>
      <bottom style="thin">
        <color indexed="64"/>
      </bottom>
      <diagonal/>
    </border>
    <border>
      <left style="hair">
        <color indexed="64"/>
      </left>
      <right/>
      <top/>
      <bottom/>
      <diagonal/>
    </border>
    <border>
      <left style="hair">
        <color indexed="64"/>
      </left>
      <right/>
      <top/>
      <bottom style="hair">
        <color auto="1"/>
      </bottom>
      <diagonal/>
    </border>
    <border>
      <left/>
      <right style="hair">
        <color auto="1"/>
      </right>
      <top/>
      <bottom/>
      <diagonal/>
    </border>
    <border>
      <left style="hair">
        <color auto="1"/>
      </left>
      <right/>
      <top style="hair">
        <color auto="1"/>
      </top>
      <bottom/>
      <diagonal/>
    </border>
    <border>
      <left/>
      <right style="hair">
        <color auto="1"/>
      </right>
      <top style="hair">
        <color indexed="64"/>
      </top>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medium">
        <color indexed="64"/>
      </right>
      <top/>
      <bottom/>
      <diagonal/>
    </border>
    <border>
      <left/>
      <right style="medium">
        <color indexed="64"/>
      </right>
      <top/>
      <bottom style="hair">
        <color auto="1"/>
      </bottom>
      <diagonal/>
    </border>
    <border>
      <left/>
      <right style="medium">
        <color indexed="64"/>
      </right>
      <top style="hair">
        <color auto="1"/>
      </top>
      <bottom style="hair">
        <color auto="1"/>
      </bottom>
      <diagonal/>
    </border>
    <border>
      <left style="hair">
        <color auto="1"/>
      </left>
      <right style="medium">
        <color indexed="64"/>
      </right>
      <top style="hair">
        <color auto="1"/>
      </top>
      <bottom style="hair">
        <color auto="1"/>
      </bottom>
      <diagonal/>
    </border>
    <border>
      <left/>
      <right style="medium">
        <color indexed="64"/>
      </right>
      <top style="hair">
        <color indexed="64"/>
      </top>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hair">
        <color auto="1"/>
      </left>
      <right style="hair">
        <color auto="1"/>
      </right>
      <top style="hair">
        <color auto="1"/>
      </top>
      <bottom style="thin">
        <color indexed="64"/>
      </bottom>
      <diagonal/>
    </border>
    <border>
      <left style="hair">
        <color auto="1"/>
      </left>
      <right style="hair">
        <color auto="1"/>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hair">
        <color auto="1"/>
      </right>
      <top/>
      <bottom style="thin">
        <color indexed="64"/>
      </bottom>
      <diagonal/>
    </border>
    <border>
      <left style="hair">
        <color indexed="64"/>
      </left>
      <right style="medium">
        <color indexed="64"/>
      </right>
      <top/>
      <bottom style="thin">
        <color indexed="64"/>
      </bottom>
      <diagonal/>
    </border>
    <border>
      <left style="medium">
        <color indexed="64"/>
      </left>
      <right/>
      <top/>
      <bottom style="hair">
        <color auto="1"/>
      </bottom>
      <diagonal/>
    </border>
    <border>
      <left style="medium">
        <color indexed="64"/>
      </left>
      <right style="hair">
        <color auto="1"/>
      </right>
      <top style="hair">
        <color auto="1"/>
      </top>
      <bottom style="thin">
        <color indexed="64"/>
      </bottom>
      <diagonal/>
    </border>
    <border>
      <left style="hair">
        <color indexed="64"/>
      </left>
      <right style="medium">
        <color indexed="64"/>
      </right>
      <top style="hair">
        <color auto="1"/>
      </top>
      <bottom style="thin">
        <color indexed="64"/>
      </bottom>
      <diagonal/>
    </border>
    <border>
      <left/>
      <right style="hair">
        <color auto="1"/>
      </right>
      <top/>
      <bottom style="medium">
        <color indexed="64"/>
      </bottom>
      <diagonal/>
    </border>
    <border>
      <left/>
      <right/>
      <top style="hair">
        <color auto="1"/>
      </top>
      <bottom style="medium">
        <color indexed="64"/>
      </bottom>
      <diagonal/>
    </border>
    <border>
      <left/>
      <right style="medium">
        <color indexed="64"/>
      </right>
      <top style="hair">
        <color auto="1"/>
      </top>
      <bottom style="medium">
        <color indexed="64"/>
      </bottom>
      <diagonal/>
    </border>
    <border>
      <left/>
      <right/>
      <top style="thin">
        <color indexed="64"/>
      </top>
      <bottom style="hair">
        <color auto="1"/>
      </bottom>
      <diagonal/>
    </border>
    <border>
      <left style="medium">
        <color indexed="64"/>
      </left>
      <right/>
      <top style="thin">
        <color indexed="64"/>
      </top>
      <bottom style="hair">
        <color indexed="64"/>
      </bottom>
      <diagonal/>
    </border>
    <border>
      <left/>
      <right style="hair">
        <color auto="1"/>
      </right>
      <top style="thin">
        <color indexed="64"/>
      </top>
      <bottom style="hair">
        <color auto="1"/>
      </bottom>
      <diagonal/>
    </border>
    <border>
      <left style="medium">
        <color indexed="64"/>
      </left>
      <right style="hair">
        <color auto="1"/>
      </right>
      <top style="hair">
        <color auto="1"/>
      </top>
      <bottom/>
      <diagonal/>
    </border>
    <border>
      <left style="hair">
        <color auto="1"/>
      </left>
      <right style="hair">
        <color auto="1"/>
      </right>
      <top/>
      <bottom style="hair">
        <color auto="1"/>
      </bottom>
      <diagonal/>
    </border>
    <border>
      <left style="hair">
        <color indexed="64"/>
      </left>
      <right/>
      <top style="medium">
        <color auto="1"/>
      </top>
      <bottom style="medium">
        <color auto="1"/>
      </bottom>
      <diagonal/>
    </border>
    <border>
      <left/>
      <right style="hair">
        <color auto="1"/>
      </right>
      <top style="medium">
        <color indexed="64"/>
      </top>
      <bottom style="medium">
        <color indexed="64"/>
      </bottom>
      <diagonal/>
    </border>
    <border>
      <left/>
      <right style="hair">
        <color auto="1"/>
      </right>
      <top style="medium">
        <color auto="1"/>
      </top>
      <bottom/>
      <diagonal/>
    </border>
    <border>
      <left style="medium">
        <color indexed="64"/>
      </left>
      <right/>
      <top style="hair">
        <color indexed="64"/>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hair">
        <color indexed="64"/>
      </right>
      <top style="hair">
        <color indexed="64"/>
      </top>
      <bottom style="medium">
        <color indexed="64"/>
      </bottom>
      <diagonal/>
    </border>
    <border>
      <left style="thin">
        <color indexed="64"/>
      </left>
      <right/>
      <top style="thin">
        <color indexed="64"/>
      </top>
      <bottom/>
      <diagonal/>
    </border>
    <border>
      <left style="hair">
        <color indexed="64"/>
      </left>
      <right/>
      <top style="thin">
        <color indexed="64"/>
      </top>
      <bottom style="hair">
        <color auto="1"/>
      </bottom>
      <diagonal/>
    </border>
    <border>
      <left/>
      <right style="medium">
        <color indexed="64"/>
      </right>
      <top style="thin">
        <color indexed="64"/>
      </top>
      <bottom style="hair">
        <color auto="1"/>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s>
  <cellStyleXfs count="4">
    <xf numFmtId="0" fontId="0" fillId="0" borderId="0"/>
    <xf numFmtId="0" fontId="5"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cellStyleXfs>
  <cellXfs count="516">
    <xf numFmtId="0" fontId="0" fillId="0" borderId="0" xfId="0"/>
    <xf numFmtId="0" fontId="1" fillId="0" borderId="0" xfId="0" applyFont="1"/>
    <xf numFmtId="0" fontId="2" fillId="0" borderId="0" xfId="0" applyFont="1"/>
    <xf numFmtId="0" fontId="2" fillId="0" borderId="0" xfId="0" applyFont="1" applyAlignment="1"/>
    <xf numFmtId="0" fontId="0" fillId="0" borderId="0" xfId="0" applyFont="1"/>
    <xf numFmtId="0" fontId="2" fillId="0" borderId="0" xfId="0" applyFont="1" applyBorder="1"/>
    <xf numFmtId="0" fontId="8" fillId="0" borderId="0" xfId="0" applyFont="1"/>
    <xf numFmtId="0" fontId="8" fillId="0" borderId="0" xfId="0" applyFont="1" applyBorder="1"/>
    <xf numFmtId="2" fontId="8" fillId="0" borderId="0" xfId="0" applyNumberFormat="1" applyFont="1" applyAlignment="1">
      <alignment horizontal="center"/>
    </xf>
    <xf numFmtId="49" fontId="2" fillId="0" borderId="0" xfId="0" applyNumberFormat="1" applyFont="1" applyAlignment="1"/>
    <xf numFmtId="0" fontId="2" fillId="0" borderId="0" xfId="0" applyFont="1" applyBorder="1" applyAlignment="1"/>
    <xf numFmtId="0" fontId="2" fillId="0" borderId="28" xfId="0" applyFont="1" applyBorder="1"/>
    <xf numFmtId="0" fontId="2" fillId="0" borderId="28" xfId="0" applyFont="1" applyBorder="1" applyAlignment="1"/>
    <xf numFmtId="0" fontId="2" fillId="0" borderId="30" xfId="0" applyFont="1" applyBorder="1"/>
    <xf numFmtId="0" fontId="2" fillId="0" borderId="31" xfId="0" applyFont="1" applyBorder="1"/>
    <xf numFmtId="0" fontId="20" fillId="0" borderId="29" xfId="1" applyFont="1" applyBorder="1" applyAlignment="1"/>
    <xf numFmtId="0" fontId="20" fillId="0" borderId="30" xfId="1" applyFont="1" applyBorder="1" applyAlignment="1"/>
    <xf numFmtId="0" fontId="2" fillId="0" borderId="0" xfId="0" applyFont="1" applyBorder="1" applyAlignment="1">
      <alignment vertical="top"/>
    </xf>
    <xf numFmtId="0" fontId="2" fillId="0" borderId="0" xfId="0" applyFont="1" applyBorder="1" applyAlignment="1">
      <alignment vertical="top" wrapText="1"/>
    </xf>
    <xf numFmtId="0" fontId="18" fillId="0" borderId="0" xfId="0" applyFont="1" applyFill="1" applyBorder="1" applyAlignment="1">
      <alignment horizontal="center"/>
    </xf>
    <xf numFmtId="0" fontId="2" fillId="0" borderId="0" xfId="0" quotePrefix="1" applyFont="1" applyBorder="1" applyAlignment="1">
      <alignment horizontal="left" vertical="top" wrapText="1"/>
    </xf>
    <xf numFmtId="0" fontId="2" fillId="0" borderId="0" xfId="0" quotePrefix="1" applyFont="1" applyBorder="1" applyAlignment="1">
      <alignment vertical="top" wrapText="1"/>
    </xf>
    <xf numFmtId="0" fontId="2" fillId="0" borderId="30" xfId="0" applyFont="1" applyBorder="1" applyAlignment="1">
      <alignment horizontal="left"/>
    </xf>
    <xf numFmtId="0" fontId="21" fillId="0" borderId="30" xfId="0" applyFont="1" applyBorder="1" applyAlignment="1">
      <alignment horizontal="left" vertical="top"/>
    </xf>
    <xf numFmtId="0" fontId="22" fillId="0" borderId="30" xfId="0" applyFont="1" applyBorder="1" applyAlignment="1">
      <alignment horizontal="left" vertical="top"/>
    </xf>
    <xf numFmtId="0" fontId="22" fillId="0" borderId="30" xfId="0" applyFont="1" applyBorder="1" applyAlignment="1">
      <alignment vertical="top"/>
    </xf>
    <xf numFmtId="0" fontId="22" fillId="0" borderId="31" xfId="0" applyFont="1" applyBorder="1" applyAlignment="1">
      <alignment vertical="top"/>
    </xf>
    <xf numFmtId="49" fontId="2" fillId="0" borderId="0" xfId="0" applyNumberFormat="1" applyFont="1" applyBorder="1"/>
    <xf numFmtId="0" fontId="18" fillId="0" borderId="27" xfId="0" applyFont="1" applyFill="1" applyBorder="1" applyAlignment="1">
      <alignment horizontal="center"/>
    </xf>
    <xf numFmtId="0" fontId="18" fillId="0" borderId="28" xfId="0" applyFont="1" applyFill="1" applyBorder="1" applyAlignment="1">
      <alignment horizontal="center"/>
    </xf>
    <xf numFmtId="49" fontId="2" fillId="0" borderId="27" xfId="0" applyNumberFormat="1" applyFont="1" applyBorder="1"/>
    <xf numFmtId="49" fontId="2" fillId="0" borderId="27" xfId="0" applyNumberFormat="1" applyFont="1" applyBorder="1" applyAlignment="1">
      <alignment horizontal="right"/>
    </xf>
    <xf numFmtId="0" fontId="19" fillId="0" borderId="28" xfId="0" applyFont="1" applyBorder="1" applyAlignment="1">
      <alignment vertical="top" wrapText="1"/>
    </xf>
    <xf numFmtId="0" fontId="2" fillId="0" borderId="28" xfId="0" applyFont="1" applyBorder="1" applyAlignment="1">
      <alignment vertical="top" wrapText="1"/>
    </xf>
    <xf numFmtId="0" fontId="2" fillId="0" borderId="28" xfId="0" quotePrefix="1" applyFont="1" applyBorder="1" applyAlignment="1">
      <alignment horizontal="left" vertical="top" wrapText="1"/>
    </xf>
    <xf numFmtId="49" fontId="2" fillId="0" borderId="29" xfId="0" applyNumberFormat="1" applyFont="1" applyBorder="1"/>
    <xf numFmtId="0" fontId="2" fillId="0" borderId="28" xfId="0" applyFont="1" applyBorder="1" applyAlignment="1">
      <alignment vertical="top"/>
    </xf>
    <xf numFmtId="49" fontId="2" fillId="0" borderId="27" xfId="0" applyNumberFormat="1" applyFont="1" applyBorder="1" applyAlignment="1">
      <alignment horizontal="right" vertical="top"/>
    </xf>
    <xf numFmtId="0" fontId="2" fillId="0" borderId="30" xfId="0" applyFont="1" applyBorder="1" applyAlignment="1"/>
    <xf numFmtId="0" fontId="2" fillId="0" borderId="31" xfId="0" applyFont="1" applyBorder="1" applyAlignment="1"/>
    <xf numFmtId="0" fontId="2" fillId="0" borderId="27" xfId="0" applyFont="1" applyBorder="1"/>
    <xf numFmtId="0" fontId="0" fillId="0" borderId="27" xfId="0" applyBorder="1" applyAlignment="1">
      <alignment horizontal="center"/>
    </xf>
    <xf numFmtId="0" fontId="2" fillId="0" borderId="0" xfId="0" applyFont="1" applyBorder="1" applyAlignment="1">
      <alignment horizontal="right" vertical="center"/>
    </xf>
    <xf numFmtId="0" fontId="5" fillId="0" borderId="0" xfId="1" applyBorder="1" applyAlignment="1">
      <alignment horizontal="right" vertical="center"/>
    </xf>
    <xf numFmtId="0" fontId="23" fillId="0" borderId="0" xfId="0" applyFont="1" applyBorder="1" applyAlignment="1">
      <alignment horizontal="right" vertical="center"/>
    </xf>
    <xf numFmtId="0" fontId="19" fillId="0" borderId="0" xfId="0" applyFont="1" applyBorder="1" applyAlignment="1">
      <alignment vertical="center" wrapText="1"/>
    </xf>
    <xf numFmtId="0" fontId="19" fillId="0" borderId="0" xfId="0" applyFont="1" applyBorder="1" applyAlignment="1">
      <alignment horizontal="left" vertical="center" wrapText="1"/>
    </xf>
    <xf numFmtId="0" fontId="2" fillId="0" borderId="0" xfId="0" applyFont="1" applyBorder="1" applyAlignment="1">
      <alignment vertical="center" wrapText="1"/>
    </xf>
    <xf numFmtId="0" fontId="19" fillId="0" borderId="0" xfId="0" applyFont="1" applyBorder="1" applyAlignment="1">
      <alignment horizontal="right" vertical="center" wrapText="1"/>
    </xf>
    <xf numFmtId="0" fontId="2" fillId="0" borderId="0" xfId="0" applyFont="1" applyBorder="1" applyAlignment="1">
      <alignment horizontal="right" vertical="center" wrapText="1"/>
    </xf>
    <xf numFmtId="0" fontId="5" fillId="0" borderId="28" xfId="1" applyBorder="1" applyAlignment="1">
      <alignment horizontal="right"/>
    </xf>
    <xf numFmtId="0" fontId="20" fillId="0" borderId="0" xfId="1" applyFont="1" applyBorder="1" applyAlignment="1">
      <alignment horizontal="center"/>
    </xf>
    <xf numFmtId="0" fontId="2" fillId="0" borderId="0" xfId="0" applyFont="1" applyBorder="1" applyAlignment="1">
      <alignment horizontal="left"/>
    </xf>
    <xf numFmtId="0" fontId="2" fillId="0" borderId="0" xfId="0" applyFont="1" applyBorder="1" applyAlignment="1">
      <alignment horizontal="left" vertical="center" wrapText="1"/>
    </xf>
    <xf numFmtId="0" fontId="35" fillId="0" borderId="0" xfId="1" applyFont="1" applyBorder="1" applyAlignment="1">
      <alignment horizontal="right" vertical="center"/>
    </xf>
    <xf numFmtId="9" fontId="8" fillId="5" borderId="19" xfId="3" applyFont="1" applyFill="1" applyBorder="1" applyAlignment="1" applyProtection="1">
      <alignment horizontal="center"/>
      <protection hidden="1"/>
    </xf>
    <xf numFmtId="9" fontId="8" fillId="5" borderId="19" xfId="3" applyFont="1" applyFill="1" applyBorder="1" applyProtection="1">
      <protection hidden="1"/>
    </xf>
    <xf numFmtId="0" fontId="19" fillId="0" borderId="28" xfId="0" applyFont="1" applyBorder="1" applyAlignment="1">
      <alignment horizontal="left" vertical="center"/>
    </xf>
    <xf numFmtId="0" fontId="19" fillId="0" borderId="28" xfId="0" applyFont="1" applyBorder="1" applyAlignment="1">
      <alignment vertical="center"/>
    </xf>
    <xf numFmtId="0" fontId="0" fillId="0" borderId="51" xfId="0" applyBorder="1"/>
    <xf numFmtId="0" fontId="2" fillId="0" borderId="0" xfId="0" applyFont="1" applyBorder="1" applyAlignment="1">
      <alignment horizontal="left" vertical="center"/>
    </xf>
    <xf numFmtId="0" fontId="5" fillId="0" borderId="0" xfId="1" applyBorder="1" applyAlignment="1">
      <alignment horizontal="left"/>
    </xf>
    <xf numFmtId="0" fontId="5" fillId="0" borderId="28" xfId="1" applyBorder="1" applyAlignment="1">
      <alignment horizontal="left"/>
    </xf>
    <xf numFmtId="0" fontId="2" fillId="0" borderId="0" xfId="0" applyFont="1" applyBorder="1" applyAlignment="1">
      <alignment vertical="center"/>
    </xf>
    <xf numFmtId="0" fontId="2" fillId="0" borderId="0" xfId="0" applyFont="1" applyBorder="1" applyAlignment="1">
      <alignment vertical="center"/>
    </xf>
    <xf numFmtId="0" fontId="2" fillId="0" borderId="0" xfId="0" applyFont="1" applyBorder="1" applyProtection="1"/>
    <xf numFmtId="0" fontId="0" fillId="0" borderId="0" xfId="0" applyProtection="1">
      <protection hidden="1"/>
    </xf>
    <xf numFmtId="0" fontId="9" fillId="5" borderId="19" xfId="0" applyFont="1" applyFill="1" applyBorder="1" applyAlignment="1" applyProtection="1">
      <alignment vertical="top" wrapText="1"/>
      <protection hidden="1"/>
    </xf>
    <xf numFmtId="0" fontId="9" fillId="5" borderId="0" xfId="0" applyFont="1" applyFill="1" applyBorder="1" applyAlignment="1" applyProtection="1">
      <alignment vertical="top" wrapText="1"/>
      <protection hidden="1"/>
    </xf>
    <xf numFmtId="0" fontId="9" fillId="5" borderId="18" xfId="0" applyFont="1" applyFill="1" applyBorder="1" applyAlignment="1" applyProtection="1">
      <alignment vertical="top" wrapText="1"/>
      <protection hidden="1"/>
    </xf>
    <xf numFmtId="0" fontId="0" fillId="0" borderId="0" xfId="0" applyBorder="1" applyAlignment="1" applyProtection="1">
      <protection hidden="1"/>
    </xf>
    <xf numFmtId="0" fontId="0" fillId="0" borderId="18" xfId="0" applyBorder="1" applyAlignment="1" applyProtection="1">
      <protection hidden="1"/>
    </xf>
    <xf numFmtId="0" fontId="0" fillId="0" borderId="19" xfId="0" applyBorder="1" applyProtection="1">
      <protection hidden="1"/>
    </xf>
    <xf numFmtId="0" fontId="9" fillId="5" borderId="19" xfId="0" applyFont="1" applyFill="1" applyBorder="1" applyAlignment="1" applyProtection="1">
      <protection hidden="1"/>
    </xf>
    <xf numFmtId="0" fontId="9" fillId="5" borderId="0" xfId="0" applyFont="1" applyFill="1" applyBorder="1" applyAlignment="1" applyProtection="1">
      <protection hidden="1"/>
    </xf>
    <xf numFmtId="0" fontId="9" fillId="5" borderId="18" xfId="0" applyFont="1" applyFill="1" applyBorder="1" applyAlignment="1" applyProtection="1">
      <protection hidden="1"/>
    </xf>
    <xf numFmtId="0" fontId="8" fillId="5" borderId="19" xfId="0" applyFont="1" applyFill="1" applyBorder="1" applyProtection="1">
      <protection hidden="1"/>
    </xf>
    <xf numFmtId="0" fontId="0" fillId="0" borderId="16" xfId="0" applyBorder="1" applyAlignment="1" applyProtection="1">
      <protection hidden="1"/>
    </xf>
    <xf numFmtId="0" fontId="0" fillId="0" borderId="17" xfId="0" applyBorder="1" applyAlignment="1" applyProtection="1">
      <protection hidden="1"/>
    </xf>
    <xf numFmtId="0" fontId="10" fillId="0" borderId="0" xfId="0" applyFont="1" applyFill="1" applyBorder="1" applyAlignment="1" applyProtection="1">
      <alignment vertical="top"/>
      <protection hidden="1"/>
    </xf>
    <xf numFmtId="0" fontId="11" fillId="0" borderId="0" xfId="0" applyFont="1" applyFill="1" applyBorder="1" applyAlignment="1" applyProtection="1">
      <alignment vertical="top" wrapText="1"/>
      <protection hidden="1"/>
    </xf>
    <xf numFmtId="0" fontId="8" fillId="0" borderId="0" xfId="0" applyFont="1" applyFill="1" applyBorder="1" applyAlignment="1" applyProtection="1">
      <alignment vertical="top" wrapText="1"/>
      <protection hidden="1"/>
    </xf>
    <xf numFmtId="0" fontId="8" fillId="0" borderId="0" xfId="0" applyFont="1" applyAlignment="1" applyProtection="1">
      <alignment vertical="top" wrapText="1"/>
      <protection hidden="1"/>
    </xf>
    <xf numFmtId="0" fontId="38" fillId="0" borderId="0" xfId="0" applyFont="1" applyProtection="1">
      <protection hidden="1"/>
    </xf>
    <xf numFmtId="0" fontId="38" fillId="0" borderId="0" xfId="0" applyFont="1" applyAlignment="1" applyProtection="1">
      <alignment vertical="top"/>
      <protection hidden="1"/>
    </xf>
    <xf numFmtId="0" fontId="2" fillId="0" borderId="0" xfId="0" applyFont="1" applyBorder="1" applyProtection="1">
      <protection hidden="1"/>
    </xf>
    <xf numFmtId="0" fontId="2" fillId="0" borderId="0" xfId="0" applyFont="1" applyProtection="1">
      <protection hidden="1"/>
    </xf>
    <xf numFmtId="0" fontId="8" fillId="0" borderId="0" xfId="0" applyFont="1" applyProtection="1">
      <protection hidden="1"/>
    </xf>
    <xf numFmtId="0" fontId="14" fillId="0" borderId="0" xfId="1" quotePrefix="1" applyFont="1" applyBorder="1" applyAlignment="1" applyProtection="1">
      <alignment vertical="center"/>
      <protection hidden="1"/>
    </xf>
    <xf numFmtId="0" fontId="8" fillId="0" borderId="0" xfId="0" applyFont="1" applyFill="1" applyBorder="1" applyAlignment="1" applyProtection="1">
      <protection hidden="1"/>
    </xf>
    <xf numFmtId="0" fontId="8" fillId="0" borderId="0" xfId="0" applyFont="1" applyBorder="1" applyProtection="1">
      <protection hidden="1"/>
    </xf>
    <xf numFmtId="0" fontId="8" fillId="0" borderId="0" xfId="0" applyFont="1" applyBorder="1" applyAlignment="1" applyProtection="1">
      <protection hidden="1"/>
    </xf>
    <xf numFmtId="0" fontId="8" fillId="0" borderId="0" xfId="0" applyFont="1" applyFill="1" applyBorder="1" applyProtection="1">
      <protection hidden="1"/>
    </xf>
    <xf numFmtId="0" fontId="12" fillId="0" borderId="0" xfId="0" applyFont="1" applyProtection="1">
      <protection hidden="1"/>
    </xf>
    <xf numFmtId="0" fontId="8" fillId="0" borderId="0" xfId="0" applyFont="1" applyFill="1" applyProtection="1">
      <protection hidden="1"/>
    </xf>
    <xf numFmtId="0" fontId="12" fillId="6" borderId="19" xfId="0" applyFont="1" applyFill="1" applyBorder="1" applyAlignment="1" applyProtection="1">
      <alignment vertical="top"/>
      <protection hidden="1"/>
    </xf>
    <xf numFmtId="0" fontId="12" fillId="6" borderId="0" xfId="0" applyFont="1" applyFill="1" applyBorder="1" applyAlignment="1" applyProtection="1">
      <alignment vertical="top"/>
      <protection hidden="1"/>
    </xf>
    <xf numFmtId="0" fontId="12" fillId="0" borderId="0" xfId="0" applyFont="1" applyBorder="1" applyProtection="1">
      <protection hidden="1"/>
    </xf>
    <xf numFmtId="0" fontId="12" fillId="0" borderId="18" xfId="0" applyFont="1" applyBorder="1" applyProtection="1">
      <protection hidden="1"/>
    </xf>
    <xf numFmtId="0" fontId="12" fillId="0" borderId="19" xfId="0" applyFont="1" applyBorder="1" applyProtection="1">
      <protection hidden="1"/>
    </xf>
    <xf numFmtId="0" fontId="12" fillId="0" borderId="0" xfId="0" applyFont="1" applyBorder="1" applyAlignment="1" applyProtection="1">
      <protection hidden="1"/>
    </xf>
    <xf numFmtId="0" fontId="12" fillId="0" borderId="19" xfId="0" applyFont="1" applyBorder="1" applyAlignment="1" applyProtection="1">
      <protection hidden="1"/>
    </xf>
    <xf numFmtId="0" fontId="41" fillId="0" borderId="18" xfId="0" applyFont="1" applyBorder="1" applyProtection="1">
      <protection hidden="1"/>
    </xf>
    <xf numFmtId="0" fontId="41" fillId="0" borderId="20" xfId="0" applyFont="1" applyBorder="1" applyProtection="1">
      <protection hidden="1"/>
    </xf>
    <xf numFmtId="0" fontId="41" fillId="0" borderId="16" xfId="0" applyFont="1" applyBorder="1" applyProtection="1">
      <protection hidden="1"/>
    </xf>
    <xf numFmtId="0" fontId="41" fillId="0" borderId="17" xfId="0" applyFont="1" applyBorder="1" applyProtection="1">
      <protection hidden="1"/>
    </xf>
    <xf numFmtId="0" fontId="0" fillId="0" borderId="0" xfId="0" applyProtection="1"/>
    <xf numFmtId="0" fontId="18" fillId="0" borderId="27" xfId="0" applyFont="1" applyBorder="1" applyAlignment="1" applyProtection="1">
      <alignment horizontal="center" vertical="top" wrapText="1"/>
    </xf>
    <xf numFmtId="0" fontId="18" fillId="0" borderId="0" xfId="0" applyFont="1" applyBorder="1" applyAlignment="1" applyProtection="1">
      <alignment horizontal="center" vertical="top" wrapText="1"/>
    </xf>
    <xf numFmtId="0" fontId="18" fillId="0" borderId="28" xfId="0" applyFont="1" applyBorder="1" applyAlignment="1" applyProtection="1">
      <alignment horizontal="center" vertical="top" wrapText="1"/>
    </xf>
    <xf numFmtId="0" fontId="18" fillId="2" borderId="27" xfId="0" applyFont="1" applyFill="1" applyBorder="1" applyAlignment="1" applyProtection="1">
      <alignment horizontal="center"/>
    </xf>
    <xf numFmtId="0" fontId="20" fillId="0" borderId="27" xfId="1" applyFont="1" applyBorder="1" applyAlignment="1" applyProtection="1"/>
    <xf numFmtId="0" fontId="2" fillId="0" borderId="0" xfId="0" applyFont="1" applyBorder="1" applyAlignment="1" applyProtection="1">
      <alignment wrapText="1"/>
    </xf>
    <xf numFmtId="0" fontId="2" fillId="0" borderId="28" xfId="0" applyFont="1" applyBorder="1" applyAlignment="1" applyProtection="1">
      <alignment wrapText="1"/>
    </xf>
    <xf numFmtId="0" fontId="2" fillId="0" borderId="0" xfId="0" applyFont="1" applyBorder="1" applyAlignment="1" applyProtection="1">
      <alignment horizontal="center"/>
    </xf>
    <xf numFmtId="0" fontId="27" fillId="0" borderId="0" xfId="1" applyFont="1" applyBorder="1" applyAlignment="1" applyProtection="1">
      <alignment horizontal="left"/>
    </xf>
    <xf numFmtId="0" fontId="27" fillId="0" borderId="28" xfId="1" applyFont="1" applyBorder="1" applyAlignment="1" applyProtection="1">
      <alignment horizontal="left"/>
    </xf>
    <xf numFmtId="0" fontId="27" fillId="0" borderId="0" xfId="1" applyFont="1" applyBorder="1" applyAlignment="1" applyProtection="1">
      <alignment horizontal="center"/>
    </xf>
    <xf numFmtId="0" fontId="28" fillId="0" borderId="0" xfId="0" applyFont="1" applyBorder="1" applyAlignment="1" applyProtection="1"/>
    <xf numFmtId="0" fontId="19" fillId="0" borderId="0" xfId="1" applyFont="1" applyBorder="1" applyAlignment="1" applyProtection="1"/>
    <xf numFmtId="0" fontId="20" fillId="0" borderId="0" xfId="1" applyFont="1" applyBorder="1" applyAlignment="1" applyProtection="1"/>
    <xf numFmtId="0" fontId="2" fillId="0" borderId="0" xfId="0" applyFont="1" applyBorder="1" applyAlignment="1" applyProtection="1"/>
    <xf numFmtId="0" fontId="2" fillId="0" borderId="28" xfId="0" applyFont="1" applyBorder="1" applyAlignment="1" applyProtection="1"/>
    <xf numFmtId="0" fontId="2" fillId="0" borderId="27" xfId="0" applyFont="1" applyBorder="1" applyAlignment="1" applyProtection="1"/>
    <xf numFmtId="0" fontId="2" fillId="0" borderId="0" xfId="0" applyFont="1" applyAlignment="1" applyProtection="1"/>
    <xf numFmtId="0" fontId="2" fillId="0" borderId="27" xfId="0" applyFont="1" applyFill="1" applyBorder="1" applyAlignment="1" applyProtection="1"/>
    <xf numFmtId="0" fontId="2" fillId="0" borderId="0" xfId="0" applyFont="1" applyFill="1" applyBorder="1" applyAlignment="1" applyProtection="1"/>
    <xf numFmtId="0" fontId="2" fillId="0" borderId="28" xfId="0" applyFont="1" applyFill="1" applyBorder="1" applyAlignment="1" applyProtection="1"/>
    <xf numFmtId="0" fontId="2" fillId="0" borderId="0" xfId="0" applyFont="1" applyFill="1" applyBorder="1" applyAlignment="1" applyProtection="1">
      <alignment horizontal="left" wrapText="1"/>
    </xf>
    <xf numFmtId="0" fontId="28" fillId="0" borderId="0" xfId="0" applyFont="1" applyFill="1" applyBorder="1" applyAlignment="1" applyProtection="1"/>
    <xf numFmtId="0" fontId="28" fillId="0" borderId="28" xfId="0" applyFont="1" applyFill="1" applyBorder="1" applyAlignment="1" applyProtection="1"/>
    <xf numFmtId="0" fontId="28" fillId="0" borderId="0" xfId="0" applyFont="1" applyBorder="1" applyAlignment="1" applyProtection="1">
      <alignment horizontal="center"/>
    </xf>
    <xf numFmtId="0" fontId="28" fillId="0" borderId="28" xfId="0" applyFont="1" applyBorder="1" applyAlignment="1" applyProtection="1"/>
    <xf numFmtId="0" fontId="28" fillId="0" borderId="0" xfId="0" applyFont="1" applyBorder="1" applyAlignment="1" applyProtection="1">
      <alignment horizontal="right"/>
    </xf>
    <xf numFmtId="0" fontId="28" fillId="0" borderId="0" xfId="0" applyFont="1" applyBorder="1" applyAlignment="1" applyProtection="1">
      <alignment wrapText="1"/>
    </xf>
    <xf numFmtId="0" fontId="28" fillId="0" borderId="0" xfId="0" applyFont="1" applyBorder="1" applyAlignment="1" applyProtection="1">
      <alignment horizontal="left" wrapText="1"/>
    </xf>
    <xf numFmtId="0" fontId="28" fillId="0" borderId="28" xfId="0" applyFont="1" applyBorder="1" applyAlignment="1" applyProtection="1">
      <alignment horizontal="left" wrapText="1"/>
    </xf>
    <xf numFmtId="0" fontId="29" fillId="0" borderId="0" xfId="1" applyFont="1" applyFill="1" applyBorder="1" applyAlignment="1" applyProtection="1"/>
    <xf numFmtId="49" fontId="2" fillId="0" borderId="27" xfId="0" applyNumberFormat="1" applyFont="1" applyBorder="1" applyAlignment="1" applyProtection="1"/>
    <xf numFmtId="49" fontId="2" fillId="0" borderId="27" xfId="0" applyNumberFormat="1" applyFont="1" applyBorder="1" applyProtection="1"/>
    <xf numFmtId="49" fontId="28" fillId="0" borderId="27" xfId="0" applyNumberFormat="1" applyFont="1" applyBorder="1" applyAlignment="1" applyProtection="1"/>
    <xf numFmtId="0" fontId="28" fillId="0" borderId="0" xfId="0" applyFont="1" applyBorder="1" applyAlignment="1" applyProtection="1">
      <alignment vertical="top" wrapText="1"/>
    </xf>
    <xf numFmtId="0" fontId="28" fillId="0" borderId="28" xfId="0" applyFont="1" applyBorder="1" applyAlignment="1" applyProtection="1">
      <alignment vertical="top" wrapText="1"/>
    </xf>
    <xf numFmtId="0" fontId="28" fillId="0" borderId="0" xfId="0" applyFont="1" applyBorder="1" applyProtection="1"/>
    <xf numFmtId="0" fontId="28" fillId="0" borderId="0" xfId="0" quotePrefix="1" applyFont="1" applyBorder="1" applyAlignment="1" applyProtection="1"/>
    <xf numFmtId="0" fontId="28" fillId="0" borderId="0" xfId="0" applyFont="1" applyBorder="1" applyAlignment="1" applyProtection="1">
      <alignment horizontal="left"/>
    </xf>
    <xf numFmtId="49" fontId="28" fillId="0" borderId="27" xfId="0" applyNumberFormat="1" applyFont="1" applyBorder="1" applyProtection="1"/>
    <xf numFmtId="0" fontId="28" fillId="0" borderId="28" xfId="0" applyFont="1" applyBorder="1" applyProtection="1"/>
    <xf numFmtId="0" fontId="2" fillId="0" borderId="28" xfId="0" applyFont="1" applyBorder="1" applyProtection="1"/>
    <xf numFmtId="0" fontId="28" fillId="0" borderId="0" xfId="0" applyFont="1" applyBorder="1" applyAlignment="1" applyProtection="1">
      <alignment horizontal="left" vertical="center" wrapText="1"/>
    </xf>
    <xf numFmtId="0" fontId="28" fillId="0" borderId="28" xfId="0" applyFont="1" applyBorder="1" applyAlignment="1" applyProtection="1">
      <alignment horizontal="left" vertical="center" wrapText="1"/>
    </xf>
    <xf numFmtId="0" fontId="28" fillId="0" borderId="28" xfId="0" applyFont="1" applyBorder="1" applyAlignment="1" applyProtection="1">
      <alignment horizontal="left"/>
    </xf>
    <xf numFmtId="0" fontId="30" fillId="0" borderId="0" xfId="0" applyFont="1" applyBorder="1" applyAlignment="1" applyProtection="1"/>
    <xf numFmtId="0" fontId="30" fillId="0" borderId="28" xfId="0" applyFont="1" applyBorder="1" applyAlignment="1" applyProtection="1"/>
    <xf numFmtId="0" fontId="28" fillId="0" borderId="28" xfId="0" applyFont="1" applyBorder="1" applyAlignment="1" applyProtection="1">
      <alignment wrapText="1"/>
    </xf>
    <xf numFmtId="0" fontId="36" fillId="0" borderId="0" xfId="1" applyFont="1" applyBorder="1" applyAlignment="1" applyProtection="1"/>
    <xf numFmtId="0" fontId="36" fillId="0" borderId="0" xfId="1" applyFont="1" applyAlignment="1" applyProtection="1"/>
    <xf numFmtId="0" fontId="36" fillId="0" borderId="28" xfId="1" applyFont="1" applyBorder="1" applyAlignment="1" applyProtection="1"/>
    <xf numFmtId="49" fontId="2" fillId="0" borderId="29" xfId="0" applyNumberFormat="1" applyFont="1" applyBorder="1" applyProtection="1"/>
    <xf numFmtId="0" fontId="2" fillId="0" borderId="30" xfId="0" applyFont="1" applyBorder="1" applyProtection="1"/>
    <xf numFmtId="0" fontId="43" fillId="0" borderId="0" xfId="0" applyFont="1"/>
    <xf numFmtId="0" fontId="2" fillId="0" borderId="0" xfId="0" applyFont="1" applyBorder="1" applyAlignment="1">
      <alignment vertical="center"/>
    </xf>
    <xf numFmtId="0" fontId="5" fillId="0" borderId="0" xfId="1" applyBorder="1" applyAlignment="1" applyProtection="1">
      <alignment horizontal="left"/>
    </xf>
    <xf numFmtId="0" fontId="28" fillId="0" borderId="0" xfId="0" applyFont="1" applyBorder="1" applyAlignment="1" applyProtection="1">
      <alignment horizontal="left" wrapText="1"/>
    </xf>
    <xf numFmtId="0" fontId="28" fillId="0" borderId="28" xfId="0" applyFont="1" applyBorder="1" applyAlignment="1" applyProtection="1">
      <alignment horizontal="left" wrapText="1"/>
    </xf>
    <xf numFmtId="0" fontId="5" fillId="0" borderId="0" xfId="1" applyBorder="1" applyAlignment="1" applyProtection="1">
      <alignment horizontal="center"/>
    </xf>
    <xf numFmtId="0" fontId="5" fillId="0" borderId="28" xfId="1" applyBorder="1" applyAlignment="1" applyProtection="1">
      <alignment horizontal="center"/>
    </xf>
    <xf numFmtId="0" fontId="5" fillId="0" borderId="0" xfId="1" applyFill="1" applyBorder="1" applyAlignment="1" applyProtection="1"/>
    <xf numFmtId="0" fontId="28" fillId="0" borderId="0" xfId="0" applyFont="1" applyBorder="1" applyAlignment="1" applyProtection="1">
      <alignment horizontal="left"/>
    </xf>
    <xf numFmtId="0" fontId="28" fillId="0" borderId="28" xfId="0" applyFont="1" applyBorder="1" applyAlignment="1" applyProtection="1">
      <alignment horizontal="left"/>
    </xf>
    <xf numFmtId="0" fontId="28" fillId="0" borderId="0" xfId="0" applyFont="1" applyBorder="1" applyAlignment="1" applyProtection="1">
      <alignment horizontal="left"/>
    </xf>
    <xf numFmtId="0" fontId="28" fillId="0" borderId="0" xfId="0" applyFont="1" applyBorder="1" applyAlignment="1" applyProtection="1">
      <alignment horizontal="center"/>
    </xf>
    <xf numFmtId="2" fontId="8" fillId="0" borderId="0" xfId="0" applyNumberFormat="1" applyFont="1" applyBorder="1" applyAlignment="1" applyProtection="1">
      <alignment horizontal="center"/>
      <protection hidden="1"/>
    </xf>
    <xf numFmtId="0" fontId="10" fillId="0" borderId="0" xfId="0" applyFont="1" applyFill="1" applyBorder="1" applyAlignment="1" applyProtection="1">
      <alignment vertical="top" wrapText="1"/>
      <protection hidden="1"/>
    </xf>
    <xf numFmtId="0" fontId="8" fillId="8" borderId="39" xfId="0" applyFont="1" applyFill="1" applyBorder="1" applyAlignment="1" applyProtection="1">
      <alignment horizontal="right"/>
      <protection hidden="1"/>
    </xf>
    <xf numFmtId="0" fontId="8" fillId="8" borderId="1" xfId="0" applyFont="1" applyFill="1" applyBorder="1" applyAlignment="1" applyProtection="1">
      <protection hidden="1"/>
    </xf>
    <xf numFmtId="0" fontId="8" fillId="8" borderId="39" xfId="0" applyFont="1" applyFill="1" applyBorder="1" applyAlignment="1" applyProtection="1">
      <protection hidden="1"/>
    </xf>
    <xf numFmtId="0" fontId="2" fillId="0" borderId="0" xfId="0" applyFont="1" applyFill="1" applyBorder="1" applyProtection="1">
      <protection hidden="1"/>
    </xf>
    <xf numFmtId="0" fontId="8" fillId="0" borderId="0" xfId="0" applyFont="1" applyBorder="1" applyAlignment="1" applyProtection="1">
      <alignment vertical="top" wrapText="1"/>
      <protection hidden="1"/>
    </xf>
    <xf numFmtId="0" fontId="8" fillId="3" borderId="21" xfId="0" applyFont="1" applyFill="1" applyBorder="1" applyProtection="1">
      <protection hidden="1"/>
    </xf>
    <xf numFmtId="0" fontId="8" fillId="3" borderId="56" xfId="0" applyFont="1" applyFill="1" applyBorder="1" applyProtection="1">
      <protection hidden="1"/>
    </xf>
    <xf numFmtId="2" fontId="8" fillId="0" borderId="18" xfId="0" applyNumberFormat="1" applyFont="1" applyFill="1" applyBorder="1" applyAlignment="1" applyProtection="1">
      <alignment horizontal="center"/>
      <protection hidden="1"/>
    </xf>
    <xf numFmtId="0" fontId="8" fillId="0" borderId="0" xfId="0" quotePrefix="1" applyFont="1" applyAlignment="1" applyProtection="1">
      <alignment horizontal="right"/>
      <protection hidden="1"/>
    </xf>
    <xf numFmtId="2" fontId="8" fillId="0" borderId="18" xfId="0" applyNumberFormat="1" applyFont="1" applyBorder="1" applyAlignment="1" applyProtection="1">
      <alignment horizontal="center"/>
      <protection hidden="1"/>
    </xf>
    <xf numFmtId="0" fontId="8" fillId="0" borderId="16" xfId="0" applyFont="1" applyBorder="1" applyProtection="1">
      <protection hidden="1"/>
    </xf>
    <xf numFmtId="2" fontId="8" fillId="0" borderId="16" xfId="0" applyNumberFormat="1" applyFont="1" applyBorder="1" applyAlignment="1" applyProtection="1">
      <alignment horizontal="center"/>
      <protection hidden="1"/>
    </xf>
    <xf numFmtId="2" fontId="8" fillId="0" borderId="17" xfId="0" applyNumberFormat="1" applyFont="1" applyBorder="1" applyAlignment="1" applyProtection="1">
      <alignment horizontal="center"/>
      <protection hidden="1"/>
    </xf>
    <xf numFmtId="0" fontId="33" fillId="3" borderId="73" xfId="0" applyFont="1" applyFill="1" applyBorder="1" applyAlignment="1" applyProtection="1">
      <alignment vertical="top" wrapText="1"/>
      <protection hidden="1"/>
    </xf>
    <xf numFmtId="0" fontId="33" fillId="3" borderId="70" xfId="0" applyFont="1" applyFill="1" applyBorder="1" applyAlignment="1" applyProtection="1">
      <alignment vertical="top" wrapText="1"/>
      <protection hidden="1"/>
    </xf>
    <xf numFmtId="0" fontId="33" fillId="3" borderId="76" xfId="0" applyFont="1" applyFill="1" applyBorder="1" applyAlignment="1" applyProtection="1">
      <alignment vertical="top" wrapText="1"/>
      <protection hidden="1"/>
    </xf>
    <xf numFmtId="0" fontId="33" fillId="3" borderId="69" xfId="0" applyFont="1" applyFill="1" applyBorder="1" applyAlignment="1" applyProtection="1">
      <alignment vertical="top" wrapText="1"/>
      <protection hidden="1"/>
    </xf>
    <xf numFmtId="0" fontId="33" fillId="3" borderId="84" xfId="0" applyFont="1" applyFill="1" applyBorder="1" applyAlignment="1" applyProtection="1">
      <alignment vertical="top" wrapText="1"/>
      <protection hidden="1"/>
    </xf>
    <xf numFmtId="0" fontId="8" fillId="3" borderId="85" xfId="0" applyFont="1" applyFill="1" applyBorder="1" applyAlignment="1" applyProtection="1">
      <alignment horizontal="center" vertical="top" wrapText="1"/>
      <protection hidden="1"/>
    </xf>
    <xf numFmtId="2" fontId="8" fillId="0" borderId="0" xfId="0" applyNumberFormat="1" applyFont="1" applyAlignment="1" applyProtection="1">
      <alignment horizontal="center"/>
      <protection hidden="1"/>
    </xf>
    <xf numFmtId="0" fontId="8" fillId="0" borderId="38" xfId="0" applyFont="1" applyBorder="1" applyAlignment="1" applyProtection="1">
      <alignment horizontal="center"/>
      <protection locked="0" hidden="1"/>
    </xf>
    <xf numFmtId="0" fontId="0" fillId="0" borderId="0" xfId="0" applyProtection="1">
      <protection locked="0" hidden="1"/>
    </xf>
    <xf numFmtId="0" fontId="8" fillId="0" borderId="10" xfId="0" applyFont="1" applyFill="1" applyBorder="1" applyAlignment="1" applyProtection="1">
      <alignment vertical="center" wrapText="1"/>
      <protection locked="0" hidden="1"/>
    </xf>
    <xf numFmtId="0" fontId="8" fillId="0" borderId="4" xfId="0" applyFont="1" applyFill="1" applyBorder="1" applyAlignment="1" applyProtection="1">
      <alignment vertical="center" wrapText="1"/>
      <protection locked="0" hidden="1"/>
    </xf>
    <xf numFmtId="0" fontId="8" fillId="0" borderId="10" xfId="0" applyNumberFormat="1" applyFont="1" applyFill="1" applyBorder="1" applyAlignment="1" applyProtection="1">
      <alignment wrapText="1"/>
      <protection locked="0" hidden="1"/>
    </xf>
    <xf numFmtId="0" fontId="8" fillId="0" borderId="4" xfId="0" applyNumberFormat="1" applyFont="1" applyFill="1" applyBorder="1" applyAlignment="1" applyProtection="1">
      <alignment wrapText="1"/>
      <protection locked="0" hidden="1"/>
    </xf>
    <xf numFmtId="0" fontId="8" fillId="0" borderId="43" xfId="0" applyNumberFormat="1" applyFont="1" applyBorder="1" applyAlignment="1" applyProtection="1">
      <protection locked="0" hidden="1"/>
    </xf>
    <xf numFmtId="0" fontId="8" fillId="0" borderId="44" xfId="0" applyNumberFormat="1" applyFont="1" applyBorder="1" applyAlignment="1" applyProtection="1">
      <protection locked="0" hidden="1"/>
    </xf>
    <xf numFmtId="49" fontId="8" fillId="0" borderId="93" xfId="0" applyNumberFormat="1" applyFont="1" applyFill="1" applyBorder="1" applyAlignment="1" applyProtection="1">
      <alignment horizontal="center" wrapText="1"/>
      <protection locked="0" hidden="1"/>
    </xf>
    <xf numFmtId="0" fontId="8" fillId="0" borderId="93" xfId="0" applyFont="1" applyFill="1" applyBorder="1" applyAlignment="1" applyProtection="1">
      <alignment horizontal="center" wrapText="1"/>
      <protection locked="0" hidden="1"/>
    </xf>
    <xf numFmtId="0" fontId="8" fillId="0" borderId="93" xfId="0" applyFont="1" applyFill="1" applyBorder="1" applyAlignment="1" applyProtection="1">
      <alignment horizontal="center" vertical="top" wrapText="1"/>
      <protection locked="0" hidden="1"/>
    </xf>
    <xf numFmtId="165" fontId="8" fillId="0" borderId="93" xfId="2" applyNumberFormat="1" applyFont="1" applyFill="1" applyBorder="1" applyAlignment="1" applyProtection="1">
      <alignment horizontal="center" wrapText="1"/>
      <protection locked="0" hidden="1"/>
    </xf>
    <xf numFmtId="165" fontId="8" fillId="0" borderId="64" xfId="2" applyNumberFormat="1" applyFont="1" applyFill="1" applyBorder="1" applyAlignment="1" applyProtection="1">
      <alignment horizontal="center" wrapText="1"/>
      <protection locked="0" hidden="1"/>
    </xf>
    <xf numFmtId="49" fontId="8" fillId="0" borderId="43" xfId="0" applyNumberFormat="1" applyFont="1" applyFill="1" applyBorder="1" applyAlignment="1" applyProtection="1">
      <alignment horizontal="center" wrapText="1"/>
      <protection locked="0" hidden="1"/>
    </xf>
    <xf numFmtId="0" fontId="8" fillId="0" borderId="43" xfId="0" applyFont="1" applyFill="1" applyBorder="1" applyAlignment="1" applyProtection="1">
      <alignment horizontal="center" wrapText="1"/>
      <protection locked="0" hidden="1"/>
    </xf>
    <xf numFmtId="0" fontId="8" fillId="0" borderId="43" xfId="0" applyFont="1" applyFill="1" applyBorder="1" applyAlignment="1" applyProtection="1">
      <alignment vertical="top" wrapText="1"/>
      <protection locked="0" hidden="1"/>
    </xf>
    <xf numFmtId="165" fontId="8" fillId="0" borderId="43" xfId="2" applyNumberFormat="1" applyFont="1" applyFill="1" applyBorder="1" applyAlignment="1" applyProtection="1">
      <alignment horizontal="center" vertical="top" wrapText="1"/>
      <protection locked="0" hidden="1"/>
    </xf>
    <xf numFmtId="165" fontId="8" fillId="0" borderId="67" xfId="2" applyNumberFormat="1" applyFont="1" applyFill="1" applyBorder="1" applyAlignment="1" applyProtection="1">
      <alignment horizontal="center" vertical="top" wrapText="1"/>
      <protection locked="0" hidden="1"/>
    </xf>
    <xf numFmtId="0" fontId="2" fillId="0" borderId="69" xfId="0" applyFont="1" applyBorder="1" applyAlignment="1" applyProtection="1">
      <alignment horizontal="center"/>
      <protection locked="0" hidden="1"/>
    </xf>
    <xf numFmtId="0" fontId="2" fillId="0" borderId="70" xfId="0" applyFont="1" applyBorder="1" applyAlignment="1" applyProtection="1">
      <alignment horizontal="center"/>
      <protection locked="0" hidden="1"/>
    </xf>
    <xf numFmtId="0" fontId="0" fillId="0" borderId="0" xfId="0" applyBorder="1"/>
    <xf numFmtId="0" fontId="0" fillId="0" borderId="27" xfId="0" applyBorder="1" applyProtection="1"/>
    <xf numFmtId="0" fontId="2" fillId="0" borderId="0" xfId="0" applyFont="1" applyBorder="1" applyAlignment="1">
      <alignment vertical="center"/>
    </xf>
    <xf numFmtId="0" fontId="28" fillId="0" borderId="0" xfId="0" applyFont="1" applyBorder="1" applyAlignment="1" applyProtection="1">
      <alignment horizontal="center"/>
    </xf>
    <xf numFmtId="0" fontId="28" fillId="0" borderId="28" xfId="0" applyFont="1" applyBorder="1" applyAlignment="1" applyProtection="1">
      <alignment horizontal="left" vertical="center"/>
    </xf>
    <xf numFmtId="0" fontId="12" fillId="0" borderId="0" xfId="0" applyFont="1" applyBorder="1" applyAlignment="1" applyProtection="1">
      <alignment horizontal="center" vertical="top" wrapText="1"/>
      <protection hidden="1"/>
    </xf>
    <xf numFmtId="0" fontId="12" fillId="0" borderId="0" xfId="0" applyFont="1" applyBorder="1" applyAlignment="1" applyProtection="1">
      <alignment vertical="top" wrapText="1"/>
      <protection hidden="1"/>
    </xf>
    <xf numFmtId="0" fontId="8" fillId="0" borderId="10" xfId="0" applyFont="1" applyFill="1" applyBorder="1" applyAlignment="1" applyProtection="1">
      <alignment horizontal="center"/>
      <protection locked="0" hidden="1"/>
    </xf>
    <xf numFmtId="0" fontId="8" fillId="3" borderId="57" xfId="0" applyFont="1" applyFill="1" applyBorder="1" applyAlignment="1" applyProtection="1">
      <alignment horizontal="left" vertical="center" wrapText="1"/>
      <protection hidden="1"/>
    </xf>
    <xf numFmtId="0" fontId="28" fillId="0" borderId="28" xfId="0" applyFont="1" applyBorder="1" applyAlignment="1" applyProtection="1">
      <alignment vertical="center"/>
    </xf>
    <xf numFmtId="165" fontId="8" fillId="3" borderId="4" xfId="2" applyNumberFormat="1" applyFont="1" applyFill="1" applyBorder="1" applyAlignment="1" applyProtection="1">
      <alignment horizontal="center" vertical="top"/>
      <protection hidden="1"/>
    </xf>
    <xf numFmtId="165" fontId="8" fillId="3" borderId="67" xfId="2" applyNumberFormat="1" applyFont="1" applyFill="1" applyBorder="1" applyAlignment="1" applyProtection="1">
      <alignment horizontal="center" vertical="top"/>
      <protection hidden="1"/>
    </xf>
    <xf numFmtId="165" fontId="8" fillId="0" borderId="67" xfId="2" applyNumberFormat="1" applyFont="1" applyBorder="1" applyAlignment="1" applyProtection="1">
      <alignment horizontal="center" vertical="top"/>
      <protection locked="0" hidden="1"/>
    </xf>
    <xf numFmtId="165" fontId="8" fillId="0" borderId="64" xfId="2" applyNumberFormat="1" applyFont="1" applyBorder="1" applyAlignment="1" applyProtection="1">
      <alignment horizontal="center" vertical="top"/>
      <protection locked="0" hidden="1"/>
    </xf>
    <xf numFmtId="0" fontId="8" fillId="0" borderId="4" xfId="0" applyFont="1" applyFill="1" applyBorder="1" applyAlignment="1" applyProtection="1">
      <alignment horizontal="left" wrapText="1"/>
      <protection locked="0" hidden="1"/>
    </xf>
    <xf numFmtId="166" fontId="33" fillId="0" borderId="74" xfId="0" applyNumberFormat="1" applyFont="1" applyFill="1" applyBorder="1" applyAlignment="1" applyProtection="1">
      <alignment horizontal="center" vertical="top" wrapText="1"/>
      <protection locked="0" hidden="1"/>
    </xf>
    <xf numFmtId="166" fontId="33" fillId="0" borderId="77" xfId="0" applyNumberFormat="1" applyFont="1" applyFill="1" applyBorder="1" applyAlignment="1" applyProtection="1">
      <alignment horizontal="center" vertical="top" wrapText="1"/>
      <protection locked="0" hidden="1"/>
    </xf>
    <xf numFmtId="0" fontId="18" fillId="7" borderId="33" xfId="0" applyFont="1" applyFill="1" applyBorder="1" applyAlignment="1">
      <alignment horizontal="center"/>
    </xf>
    <xf numFmtId="0" fontId="18" fillId="7" borderId="34" xfId="0" applyFont="1" applyFill="1" applyBorder="1" applyAlignment="1">
      <alignment horizontal="center"/>
    </xf>
    <xf numFmtId="0" fontId="18" fillId="7" borderId="35" xfId="0" applyFont="1" applyFill="1" applyBorder="1" applyAlignment="1">
      <alignment horizontal="center"/>
    </xf>
    <xf numFmtId="49" fontId="18" fillId="0" borderId="27" xfId="0" applyNumberFormat="1" applyFont="1" applyBorder="1" applyAlignment="1">
      <alignment horizontal="center"/>
    </xf>
    <xf numFmtId="49" fontId="18" fillId="0" borderId="0" xfId="0" applyNumberFormat="1" applyFont="1" applyBorder="1" applyAlignment="1">
      <alignment horizontal="center"/>
    </xf>
    <xf numFmtId="49" fontId="18" fillId="0" borderId="28" xfId="0" applyNumberFormat="1" applyFont="1" applyBorder="1" applyAlignment="1">
      <alignment horizontal="center"/>
    </xf>
    <xf numFmtId="0" fontId="2" fillId="0" borderId="0" xfId="0" applyFont="1" applyBorder="1" applyAlignment="1">
      <alignment horizontal="left" vertical="center"/>
    </xf>
    <xf numFmtId="0" fontId="5" fillId="0" borderId="0" xfId="1" applyBorder="1" applyAlignment="1">
      <alignment horizontal="left"/>
    </xf>
    <xf numFmtId="0" fontId="5" fillId="0" borderId="28" xfId="1" applyBorder="1" applyAlignment="1">
      <alignment horizontal="left"/>
    </xf>
    <xf numFmtId="0" fontId="5" fillId="0" borderId="0" xfId="1" applyFill="1"/>
    <xf numFmtId="0" fontId="19" fillId="0" borderId="0" xfId="0" applyFont="1" applyBorder="1" applyAlignment="1">
      <alignment horizontal="left" vertical="top" wrapText="1"/>
    </xf>
    <xf numFmtId="0" fontId="2" fillId="0" borderId="0" xfId="0" applyFont="1" applyBorder="1" applyAlignment="1">
      <alignment horizontal="left" vertical="top" wrapText="1"/>
    </xf>
    <xf numFmtId="0" fontId="2" fillId="0" borderId="28" xfId="0" applyFont="1" applyBorder="1" applyAlignment="1">
      <alignment horizontal="left" vertical="top" wrapText="1"/>
    </xf>
    <xf numFmtId="0" fontId="18" fillId="7" borderId="0" xfId="0" applyFont="1" applyFill="1" applyBorder="1" applyAlignment="1">
      <alignment horizontal="center"/>
    </xf>
    <xf numFmtId="0" fontId="2" fillId="0" borderId="0" xfId="0" applyFont="1" applyBorder="1" applyAlignment="1">
      <alignment horizontal="left" vertical="top"/>
    </xf>
    <xf numFmtId="0" fontId="18" fillId="7" borderId="32" xfId="0" applyFont="1" applyFill="1" applyBorder="1" applyAlignment="1">
      <alignment horizontal="center"/>
    </xf>
    <xf numFmtId="0" fontId="18" fillId="7" borderId="36" xfId="0" applyFont="1" applyFill="1" applyBorder="1" applyAlignment="1">
      <alignment horizontal="center"/>
    </xf>
    <xf numFmtId="0" fontId="18" fillId="7" borderId="37" xfId="0" applyFont="1" applyFill="1" applyBorder="1" applyAlignment="1">
      <alignment horizontal="center"/>
    </xf>
    <xf numFmtId="0" fontId="19" fillId="0" borderId="0" xfId="0" applyFont="1" applyBorder="1" applyAlignment="1">
      <alignment horizontal="left" wrapText="1"/>
    </xf>
    <xf numFmtId="0" fontId="19" fillId="0" borderId="28" xfId="0" applyFont="1" applyBorder="1" applyAlignment="1">
      <alignment horizontal="left" wrapText="1"/>
    </xf>
    <xf numFmtId="0" fontId="28" fillId="0" borderId="0" xfId="0" applyFont="1" applyBorder="1" applyAlignment="1" applyProtection="1">
      <alignment horizontal="left" wrapText="1"/>
    </xf>
    <xf numFmtId="0" fontId="28" fillId="0" borderId="28" xfId="0" applyFont="1" applyBorder="1" applyAlignment="1" applyProtection="1">
      <alignment horizontal="left" wrapText="1"/>
    </xf>
    <xf numFmtId="0" fontId="5" fillId="0" borderId="0" xfId="1" applyFill="1" applyBorder="1" applyAlignment="1" applyProtection="1">
      <alignment horizontal="left"/>
    </xf>
    <xf numFmtId="0" fontId="30" fillId="0" borderId="0" xfId="0" applyFont="1" applyBorder="1" applyAlignment="1" applyProtection="1">
      <alignment horizontal="left"/>
    </xf>
    <xf numFmtId="0" fontId="30" fillId="0" borderId="28" xfId="0" applyFont="1" applyBorder="1" applyAlignment="1" applyProtection="1">
      <alignment horizontal="left"/>
    </xf>
    <xf numFmtId="0" fontId="5" fillId="0" borderId="0" xfId="1" applyBorder="1" applyAlignment="1" applyProtection="1">
      <alignment horizontal="left"/>
    </xf>
    <xf numFmtId="0" fontId="5" fillId="0" borderId="0" xfId="1" applyBorder="1" applyAlignment="1" applyProtection="1">
      <alignment horizontal="center"/>
    </xf>
    <xf numFmtId="0" fontId="5" fillId="0" borderId="28" xfId="1" applyBorder="1" applyAlignment="1" applyProtection="1">
      <alignment horizontal="center"/>
    </xf>
    <xf numFmtId="0" fontId="25" fillId="2" borderId="0" xfId="0" applyFont="1" applyFill="1" applyBorder="1" applyAlignment="1" applyProtection="1">
      <alignment horizontal="left"/>
    </xf>
    <xf numFmtId="0" fontId="25" fillId="2" borderId="28" xfId="0" applyFont="1" applyFill="1" applyBorder="1" applyAlignment="1" applyProtection="1">
      <alignment horizontal="left"/>
    </xf>
    <xf numFmtId="0" fontId="28" fillId="0" borderId="0" xfId="0" applyFont="1" applyFill="1" applyBorder="1" applyAlignment="1" applyProtection="1">
      <alignment horizontal="left" wrapText="1"/>
    </xf>
    <xf numFmtId="0" fontId="28" fillId="0" borderId="28" xfId="0" applyFont="1" applyFill="1" applyBorder="1" applyAlignment="1" applyProtection="1">
      <alignment horizontal="left" wrapText="1"/>
    </xf>
    <xf numFmtId="0" fontId="5" fillId="0" borderId="0" xfId="1" applyFill="1" applyBorder="1" applyAlignment="1" applyProtection="1"/>
    <xf numFmtId="0" fontId="28" fillId="0" borderId="0" xfId="0" applyFont="1" applyBorder="1" applyAlignment="1" applyProtection="1">
      <alignment horizontal="left"/>
    </xf>
    <xf numFmtId="0" fontId="18" fillId="2" borderId="0" xfId="0" applyFont="1" applyFill="1" applyBorder="1" applyAlignment="1" applyProtection="1">
      <alignment horizontal="left"/>
    </xf>
    <xf numFmtId="0" fontId="18" fillId="2" borderId="28" xfId="0" applyFont="1" applyFill="1" applyBorder="1" applyAlignment="1" applyProtection="1">
      <alignment horizontal="left"/>
    </xf>
    <xf numFmtId="0" fontId="28" fillId="0" borderId="28" xfId="0" applyFont="1" applyBorder="1" applyAlignment="1" applyProtection="1">
      <alignment horizontal="left"/>
    </xf>
    <xf numFmtId="0" fontId="18" fillId="7" borderId="32" xfId="0" applyFont="1" applyFill="1" applyBorder="1" applyAlignment="1" applyProtection="1">
      <alignment horizontal="center"/>
    </xf>
    <xf numFmtId="0" fontId="18" fillId="7" borderId="36" xfId="0" applyFont="1" applyFill="1" applyBorder="1" applyAlignment="1" applyProtection="1">
      <alignment horizontal="center"/>
    </xf>
    <xf numFmtId="0" fontId="18" fillId="7" borderId="37" xfId="0" applyFont="1" applyFill="1" applyBorder="1" applyAlignment="1" applyProtection="1">
      <alignment horizontal="center"/>
    </xf>
    <xf numFmtId="0" fontId="18" fillId="2" borderId="0" xfId="0" applyFont="1" applyFill="1" applyBorder="1" applyAlignment="1" applyProtection="1">
      <alignment horizontal="left" wrapText="1"/>
    </xf>
    <xf numFmtId="0" fontId="18" fillId="2" borderId="28" xfId="0" applyFont="1" applyFill="1" applyBorder="1" applyAlignment="1" applyProtection="1">
      <alignment horizontal="left" wrapText="1"/>
    </xf>
    <xf numFmtId="0" fontId="27" fillId="0" borderId="0" xfId="1" applyFont="1" applyBorder="1" applyAlignment="1" applyProtection="1">
      <alignment horizontal="left"/>
    </xf>
    <xf numFmtId="0" fontId="27" fillId="0" borderId="28" xfId="1" applyFont="1" applyBorder="1" applyAlignment="1" applyProtection="1">
      <alignment horizontal="left"/>
    </xf>
    <xf numFmtId="0" fontId="27" fillId="0" borderId="0" xfId="1" applyFont="1" applyBorder="1" applyAlignment="1" applyProtection="1">
      <alignment horizontal="left" wrapText="1"/>
    </xf>
    <xf numFmtId="0" fontId="27" fillId="0" borderId="28" xfId="1" applyFont="1" applyBorder="1" applyAlignment="1" applyProtection="1">
      <alignment horizontal="left" wrapText="1"/>
    </xf>
    <xf numFmtId="0" fontId="28" fillId="0" borderId="0" xfId="0" applyFont="1" applyBorder="1" applyAlignment="1" applyProtection="1">
      <alignment horizontal="left" vertical="top" wrapText="1"/>
    </xf>
    <xf numFmtId="0" fontId="28" fillId="0" borderId="28" xfId="0" applyFont="1" applyBorder="1" applyAlignment="1" applyProtection="1">
      <alignment horizontal="left" vertical="top" wrapText="1"/>
    </xf>
    <xf numFmtId="0" fontId="29" fillId="0" borderId="0" xfId="1" applyFont="1" applyBorder="1" applyAlignment="1" applyProtection="1">
      <alignment horizontal="left"/>
    </xf>
    <xf numFmtId="0" fontId="28" fillId="0" borderId="0" xfId="0" applyFont="1" applyBorder="1" applyAlignment="1" applyProtection="1">
      <alignment horizontal="left" vertical="center"/>
    </xf>
    <xf numFmtId="0" fontId="28" fillId="0" borderId="28" xfId="0" applyFont="1" applyBorder="1" applyAlignment="1" applyProtection="1">
      <alignment horizontal="left" vertical="center"/>
    </xf>
    <xf numFmtId="0" fontId="28" fillId="0" borderId="0" xfId="0" applyFont="1" applyBorder="1" applyAlignment="1" applyProtection="1">
      <alignment horizontal="left" vertical="center" wrapText="1"/>
    </xf>
    <xf numFmtId="0" fontId="28" fillId="0" borderId="28" xfId="0" applyFont="1" applyBorder="1" applyAlignment="1" applyProtection="1">
      <alignment horizontal="left" vertical="center" wrapText="1"/>
    </xf>
    <xf numFmtId="0" fontId="28" fillId="0" borderId="0" xfId="0" applyFont="1" applyBorder="1" applyAlignment="1" applyProtection="1">
      <alignment horizontal="left" vertical="top"/>
    </xf>
    <xf numFmtId="0" fontId="28" fillId="0" borderId="0" xfId="0" applyFont="1" applyBorder="1" applyAlignment="1" applyProtection="1">
      <alignment horizontal="center"/>
    </xf>
    <xf numFmtId="0" fontId="21" fillId="2" borderId="0" xfId="0" applyFont="1" applyFill="1" applyBorder="1" applyAlignment="1" applyProtection="1">
      <alignment horizontal="left" vertical="top" wrapText="1"/>
    </xf>
    <xf numFmtId="0" fontId="18" fillId="2" borderId="0" xfId="0" applyFont="1" applyFill="1" applyBorder="1" applyAlignment="1" applyProtection="1">
      <alignment horizontal="left" vertical="top" wrapText="1"/>
    </xf>
    <xf numFmtId="0" fontId="18" fillId="2" borderId="28" xfId="0" applyFont="1" applyFill="1" applyBorder="1" applyAlignment="1" applyProtection="1">
      <alignment horizontal="left" vertical="top" wrapText="1"/>
    </xf>
    <xf numFmtId="0" fontId="5" fillId="0" borderId="30" xfId="1" applyBorder="1" applyAlignment="1" applyProtection="1">
      <alignment horizontal="center"/>
    </xf>
    <xf numFmtId="0" fontId="5" fillId="0" borderId="31" xfId="1" applyBorder="1" applyAlignment="1" applyProtection="1">
      <alignment horizontal="center"/>
    </xf>
    <xf numFmtId="0" fontId="36" fillId="0" borderId="0" xfId="1" applyFont="1" applyBorder="1" applyAlignment="1" applyProtection="1">
      <alignment horizontal="left"/>
    </xf>
    <xf numFmtId="0" fontId="8" fillId="0" borderId="20" xfId="0" applyFont="1" applyBorder="1" applyAlignment="1" applyProtection="1">
      <alignment horizontal="center"/>
      <protection locked="0" hidden="1"/>
    </xf>
    <xf numFmtId="0" fontId="8" fillId="0" borderId="16" xfId="0" applyFont="1" applyBorder="1" applyAlignment="1" applyProtection="1">
      <alignment horizontal="center"/>
      <protection locked="0" hidden="1"/>
    </xf>
    <xf numFmtId="0" fontId="8" fillId="0" borderId="78" xfId="0" applyFont="1" applyBorder="1" applyAlignment="1" applyProtection="1">
      <alignment horizontal="center"/>
      <protection locked="0" hidden="1"/>
    </xf>
    <xf numFmtId="0" fontId="8" fillId="3" borderId="94" xfId="0" applyFont="1" applyFill="1" applyBorder="1" applyAlignment="1" applyProtection="1">
      <alignment horizontal="center" vertical="top" wrapText="1"/>
      <protection hidden="1"/>
    </xf>
    <xf numFmtId="0" fontId="8" fillId="3" borderId="81" xfId="0" applyFont="1" applyFill="1" applyBorder="1" applyAlignment="1" applyProtection="1">
      <alignment horizontal="center" vertical="top" wrapText="1"/>
      <protection hidden="1"/>
    </xf>
    <xf numFmtId="0" fontId="8" fillId="3" borderId="95" xfId="0" applyFont="1" applyFill="1" applyBorder="1" applyAlignment="1" applyProtection="1">
      <alignment horizontal="center" vertical="top" wrapText="1"/>
      <protection hidden="1"/>
    </xf>
    <xf numFmtId="0" fontId="33" fillId="0" borderId="56" xfId="0" applyFont="1" applyBorder="1" applyAlignment="1" applyProtection="1">
      <alignment horizontal="center" vertical="top" wrapText="1"/>
      <protection locked="0" hidden="1"/>
    </xf>
    <xf numFmtId="9" fontId="8" fillId="5" borderId="20" xfId="3" quotePrefix="1" applyNumberFormat="1" applyFont="1" applyFill="1" applyBorder="1" applyAlignment="1" applyProtection="1">
      <alignment horizontal="center"/>
      <protection hidden="1"/>
    </xf>
    <xf numFmtId="9" fontId="8" fillId="5" borderId="16" xfId="3" quotePrefix="1" applyNumberFormat="1" applyFont="1" applyFill="1" applyBorder="1" applyAlignment="1" applyProtection="1">
      <alignment horizontal="center"/>
      <protection hidden="1"/>
    </xf>
    <xf numFmtId="0" fontId="8" fillId="3" borderId="82" xfId="0" applyFont="1" applyFill="1" applyBorder="1" applyAlignment="1" applyProtection="1">
      <alignment horizontal="center" vertical="top" wrapText="1"/>
      <protection hidden="1"/>
    </xf>
    <xf numFmtId="0" fontId="8" fillId="3" borderId="83" xfId="0" applyFont="1" applyFill="1" applyBorder="1" applyAlignment="1" applyProtection="1">
      <alignment horizontal="center" vertical="top" wrapText="1"/>
      <protection hidden="1"/>
    </xf>
    <xf numFmtId="0" fontId="33" fillId="0" borderId="19" xfId="0" applyFont="1" applyBorder="1" applyAlignment="1" applyProtection="1">
      <alignment horizontal="center" vertical="top" wrapText="1"/>
      <protection hidden="1"/>
    </xf>
    <xf numFmtId="0" fontId="33" fillId="0" borderId="0" xfId="0" applyFont="1" applyBorder="1" applyAlignment="1" applyProtection="1">
      <alignment horizontal="center" vertical="top" wrapText="1"/>
      <protection hidden="1"/>
    </xf>
    <xf numFmtId="0" fontId="33" fillId="0" borderId="18" xfId="0" applyFont="1" applyBorder="1" applyAlignment="1" applyProtection="1">
      <alignment horizontal="center" vertical="top" wrapText="1"/>
      <protection hidden="1"/>
    </xf>
    <xf numFmtId="0" fontId="34" fillId="0" borderId="75" xfId="0" applyFont="1" applyBorder="1" applyAlignment="1" applyProtection="1">
      <alignment horizontal="center" vertical="top" wrapText="1"/>
      <protection hidden="1"/>
    </xf>
    <xf numFmtId="0" fontId="34" fillId="0" borderId="46" xfId="0" applyFont="1" applyBorder="1" applyAlignment="1" applyProtection="1">
      <alignment horizontal="center" vertical="top" wrapText="1"/>
      <protection hidden="1"/>
    </xf>
    <xf numFmtId="0" fontId="34" fillId="0" borderId="59" xfId="0" applyFont="1" applyBorder="1" applyAlignment="1" applyProtection="1">
      <alignment horizontal="center" vertical="top" wrapText="1"/>
      <protection hidden="1"/>
    </xf>
    <xf numFmtId="0" fontId="33" fillId="0" borderId="70" xfId="0" applyFont="1" applyBorder="1" applyAlignment="1" applyProtection="1">
      <alignment horizontal="center" vertical="top" wrapText="1"/>
      <protection locked="0" hidden="1"/>
    </xf>
    <xf numFmtId="0" fontId="10" fillId="2" borderId="40" xfId="0" applyFont="1" applyFill="1" applyBorder="1" applyAlignment="1" applyProtection="1">
      <alignment horizontal="center" vertical="top" wrapText="1"/>
      <protection hidden="1"/>
    </xf>
    <xf numFmtId="0" fontId="10" fillId="2" borderId="41" xfId="0" applyFont="1" applyFill="1" applyBorder="1" applyAlignment="1" applyProtection="1">
      <alignment horizontal="center" vertical="top" wrapText="1"/>
      <protection hidden="1"/>
    </xf>
    <xf numFmtId="0" fontId="10" fillId="2" borderId="15" xfId="0" applyFont="1" applyFill="1" applyBorder="1" applyAlignment="1" applyProtection="1">
      <alignment horizontal="center" vertical="top" wrapText="1"/>
      <protection hidden="1"/>
    </xf>
    <xf numFmtId="0" fontId="8" fillId="3" borderId="71" xfId="0" applyFont="1" applyFill="1" applyBorder="1" applyAlignment="1" applyProtection="1">
      <alignment horizontal="center" vertical="top" wrapText="1"/>
      <protection hidden="1"/>
    </xf>
    <xf numFmtId="0" fontId="8" fillId="3" borderId="49" xfId="0" applyFont="1" applyFill="1" applyBorder="1" applyAlignment="1" applyProtection="1">
      <alignment horizontal="center" vertical="top" wrapText="1"/>
      <protection hidden="1"/>
    </xf>
    <xf numFmtId="0" fontId="8" fillId="3" borderId="72" xfId="0" applyFont="1" applyFill="1" applyBorder="1" applyAlignment="1" applyProtection="1">
      <alignment horizontal="center" vertical="top" wrapText="1"/>
      <protection hidden="1"/>
    </xf>
    <xf numFmtId="0" fontId="8" fillId="0" borderId="19" xfId="0" applyFont="1" applyFill="1" applyBorder="1" applyAlignment="1" applyProtection="1">
      <alignment horizontal="center" vertical="top" wrapText="1"/>
      <protection hidden="1"/>
    </xf>
    <xf numFmtId="0" fontId="8" fillId="0" borderId="0" xfId="0" applyFont="1" applyFill="1" applyBorder="1" applyAlignment="1" applyProtection="1">
      <alignment horizontal="center" vertical="top" wrapText="1"/>
      <protection hidden="1"/>
    </xf>
    <xf numFmtId="0" fontId="8" fillId="0" borderId="18" xfId="0" applyFont="1" applyFill="1" applyBorder="1" applyAlignment="1" applyProtection="1">
      <alignment horizontal="center" vertical="top" wrapText="1"/>
      <protection hidden="1"/>
    </xf>
    <xf numFmtId="0" fontId="33" fillId="0" borderId="69" xfId="0" applyFont="1" applyBorder="1" applyAlignment="1" applyProtection="1">
      <alignment horizontal="center" vertical="top" wrapText="1"/>
      <protection locked="0" hidden="1"/>
    </xf>
    <xf numFmtId="0" fontId="8" fillId="0" borderId="38" xfId="0" applyFont="1" applyBorder="1" applyAlignment="1" applyProtection="1">
      <protection locked="0" hidden="1"/>
    </xf>
    <xf numFmtId="0" fontId="8" fillId="0" borderId="79" xfId="0" applyFont="1" applyBorder="1" applyAlignment="1" applyProtection="1">
      <protection locked="0" hidden="1"/>
    </xf>
    <xf numFmtId="0" fontId="8" fillId="0" borderId="80" xfId="0" applyFont="1" applyBorder="1" applyAlignment="1" applyProtection="1">
      <protection locked="0" hidden="1"/>
    </xf>
    <xf numFmtId="0" fontId="13" fillId="0" borderId="0" xfId="1" quotePrefix="1" applyFont="1" applyBorder="1" applyAlignment="1" applyProtection="1">
      <alignment horizontal="center" vertical="center" wrapText="1"/>
      <protection hidden="1"/>
    </xf>
    <xf numFmtId="0" fontId="12" fillId="0" borderId="11" xfId="0" quotePrefix="1" applyFont="1" applyBorder="1" applyAlignment="1" applyProtection="1">
      <alignment horizontal="center" wrapText="1"/>
      <protection hidden="1"/>
    </xf>
    <xf numFmtId="0" fontId="12" fillId="0" borderId="13" xfId="0" applyFont="1" applyBorder="1" applyAlignment="1" applyProtection="1">
      <alignment horizontal="center"/>
      <protection hidden="1"/>
    </xf>
    <xf numFmtId="0" fontId="12" fillId="0" borderId="19" xfId="0" applyFont="1" applyBorder="1" applyAlignment="1" applyProtection="1">
      <alignment horizontal="center"/>
      <protection hidden="1"/>
    </xf>
    <xf numFmtId="0" fontId="12" fillId="0" borderId="18" xfId="0" applyFont="1" applyBorder="1" applyAlignment="1" applyProtection="1">
      <alignment horizontal="center"/>
      <protection hidden="1"/>
    </xf>
    <xf numFmtId="0" fontId="12" fillId="0" borderId="20" xfId="0" applyFont="1" applyBorder="1" applyAlignment="1" applyProtection="1">
      <alignment horizontal="center"/>
      <protection hidden="1"/>
    </xf>
    <xf numFmtId="0" fontId="12" fillId="0" borderId="17" xfId="0" applyFont="1" applyBorder="1" applyAlignment="1" applyProtection="1">
      <alignment horizontal="center"/>
      <protection hidden="1"/>
    </xf>
    <xf numFmtId="0" fontId="8" fillId="3" borderId="6" xfId="0" applyFont="1" applyFill="1" applyBorder="1" applyAlignment="1" applyProtection="1">
      <alignment horizontal="center" vertical="top" wrapText="1"/>
      <protection hidden="1"/>
    </xf>
    <xf numFmtId="0" fontId="8" fillId="3" borderId="4" xfId="0" applyFont="1" applyFill="1" applyBorder="1" applyAlignment="1" applyProtection="1">
      <alignment horizontal="center" vertical="top" wrapText="1"/>
      <protection hidden="1"/>
    </xf>
    <xf numFmtId="0" fontId="8" fillId="3" borderId="9" xfId="0" applyFont="1" applyFill="1" applyBorder="1" applyAlignment="1" applyProtection="1">
      <alignment horizontal="center" vertical="top" wrapText="1"/>
      <protection hidden="1"/>
    </xf>
    <xf numFmtId="0" fontId="8" fillId="3" borderId="50" xfId="0" applyFont="1" applyFill="1" applyBorder="1" applyAlignment="1" applyProtection="1">
      <alignment horizontal="center" vertical="top" wrapText="1"/>
      <protection hidden="1"/>
    </xf>
    <xf numFmtId="0" fontId="8" fillId="3" borderId="63" xfId="0" applyFont="1" applyFill="1" applyBorder="1" applyAlignment="1" applyProtection="1">
      <alignment horizontal="center" vertical="top" wrapText="1"/>
      <protection hidden="1"/>
    </xf>
    <xf numFmtId="9" fontId="8" fillId="5" borderId="19" xfId="3" quotePrefix="1" applyNumberFormat="1" applyFont="1" applyFill="1" applyBorder="1" applyAlignment="1" applyProtection="1">
      <alignment horizontal="center"/>
      <protection hidden="1"/>
    </xf>
    <xf numFmtId="9" fontId="8" fillId="5" borderId="0" xfId="3" quotePrefix="1" applyNumberFormat="1" applyFont="1" applyFill="1" applyBorder="1" applyAlignment="1" applyProtection="1">
      <alignment horizontal="center"/>
      <protection hidden="1"/>
    </xf>
    <xf numFmtId="0" fontId="8" fillId="3" borderId="68" xfId="0" applyFont="1" applyFill="1" applyBorder="1" applyAlignment="1" applyProtection="1">
      <alignment horizontal="left" vertical="top" wrapText="1"/>
      <protection hidden="1"/>
    </xf>
    <xf numFmtId="0" fontId="8" fillId="3" borderId="7" xfId="0" applyFont="1" applyFill="1" applyBorder="1" applyAlignment="1" applyProtection="1">
      <alignment horizontal="left" vertical="top" wrapText="1"/>
      <protection hidden="1"/>
    </xf>
    <xf numFmtId="0" fontId="8" fillId="3" borderId="8" xfId="0" applyFont="1" applyFill="1" applyBorder="1" applyAlignment="1" applyProtection="1">
      <alignment horizontal="left" vertical="top" wrapText="1"/>
      <protection hidden="1"/>
    </xf>
    <xf numFmtId="0" fontId="8" fillId="2" borderId="10" xfId="0" applyFont="1" applyFill="1" applyBorder="1" applyAlignment="1" applyProtection="1">
      <alignment horizontal="right" vertical="top"/>
      <protection hidden="1"/>
    </xf>
    <xf numFmtId="0" fontId="8" fillId="2" borderId="4" xfId="0" applyFont="1" applyFill="1" applyBorder="1" applyAlignment="1" applyProtection="1">
      <alignment horizontal="right" vertical="top"/>
      <protection hidden="1"/>
    </xf>
    <xf numFmtId="0" fontId="8" fillId="3" borderId="68" xfId="0" applyFont="1" applyFill="1" applyBorder="1" applyAlignment="1" applyProtection="1">
      <alignment horizontal="left" vertical="top"/>
      <protection hidden="1"/>
    </xf>
    <xf numFmtId="0" fontId="8" fillId="3" borderId="7" xfId="0" applyFont="1" applyFill="1" applyBorder="1" applyAlignment="1" applyProtection="1">
      <alignment horizontal="left" vertical="top"/>
      <protection hidden="1"/>
    </xf>
    <xf numFmtId="0" fontId="8" fillId="3" borderId="8" xfId="0" applyFont="1" applyFill="1" applyBorder="1" applyAlignment="1" applyProtection="1">
      <alignment horizontal="left" vertical="top"/>
      <protection hidden="1"/>
    </xf>
    <xf numFmtId="0" fontId="8" fillId="3" borderId="96" xfId="0" applyFont="1" applyFill="1" applyBorder="1" applyAlignment="1" applyProtection="1">
      <alignment horizontal="left" vertical="top" wrapText="1"/>
      <protection hidden="1"/>
    </xf>
    <xf numFmtId="0" fontId="8" fillId="3" borderId="97" xfId="0" applyFont="1" applyFill="1" applyBorder="1" applyAlignment="1" applyProtection="1">
      <alignment horizontal="left" vertical="top" wrapText="1"/>
      <protection hidden="1"/>
    </xf>
    <xf numFmtId="0" fontId="8" fillId="3" borderId="98" xfId="0" applyFont="1" applyFill="1" applyBorder="1" applyAlignment="1" applyProtection="1">
      <alignment horizontal="left" vertical="top" wrapText="1"/>
      <protection hidden="1"/>
    </xf>
    <xf numFmtId="0" fontId="10" fillId="2" borderId="1" xfId="0" applyFont="1" applyFill="1" applyBorder="1" applyAlignment="1" applyProtection="1">
      <alignment horizontal="center" vertical="top" wrapText="1"/>
      <protection hidden="1"/>
    </xf>
    <xf numFmtId="0" fontId="10" fillId="2" borderId="3" xfId="0" applyFont="1" applyFill="1" applyBorder="1" applyAlignment="1" applyProtection="1">
      <alignment horizontal="center" vertical="top" wrapText="1"/>
      <protection hidden="1"/>
    </xf>
    <xf numFmtId="0" fontId="10" fillId="2" borderId="2" xfId="0" applyFont="1" applyFill="1" applyBorder="1" applyAlignment="1" applyProtection="1">
      <alignment horizontal="center" vertical="top" wrapText="1"/>
      <protection hidden="1"/>
    </xf>
    <xf numFmtId="0" fontId="8" fillId="5" borderId="11" xfId="0" applyFont="1" applyFill="1" applyBorder="1" applyAlignment="1" applyProtection="1">
      <alignment horizontal="left" vertical="top"/>
      <protection hidden="1"/>
    </xf>
    <xf numFmtId="0" fontId="8" fillId="5" borderId="12" xfId="0" applyFont="1" applyFill="1" applyBorder="1" applyAlignment="1" applyProtection="1">
      <alignment horizontal="left" vertical="top"/>
      <protection hidden="1"/>
    </xf>
    <xf numFmtId="2" fontId="8" fillId="4" borderId="64" xfId="0" applyNumberFormat="1" applyFont="1" applyFill="1" applyBorder="1" applyAlignment="1" applyProtection="1">
      <alignment horizontal="center" vertical="top" wrapText="1"/>
      <protection hidden="1"/>
    </xf>
    <xf numFmtId="2" fontId="8" fillId="4" borderId="65" xfId="0" applyNumberFormat="1" applyFont="1" applyFill="1" applyBorder="1" applyAlignment="1" applyProtection="1">
      <alignment horizontal="center" vertical="top" wrapText="1"/>
      <protection hidden="1"/>
    </xf>
    <xf numFmtId="2" fontId="8" fillId="4" borderId="66" xfId="0" applyNumberFormat="1" applyFont="1" applyFill="1" applyBorder="1" applyAlignment="1" applyProtection="1">
      <alignment horizontal="center" vertical="top" wrapText="1"/>
      <protection hidden="1"/>
    </xf>
    <xf numFmtId="0" fontId="10" fillId="2" borderId="1" xfId="0" applyFont="1" applyFill="1" applyBorder="1" applyAlignment="1" applyProtection="1">
      <alignment horizontal="center" vertical="top"/>
      <protection hidden="1"/>
    </xf>
    <xf numFmtId="0" fontId="10" fillId="2" borderId="3" xfId="0" applyFont="1" applyFill="1" applyBorder="1" applyAlignment="1" applyProtection="1">
      <alignment horizontal="center" vertical="top"/>
      <protection hidden="1"/>
    </xf>
    <xf numFmtId="0" fontId="10" fillId="2" borderId="2" xfId="0" applyFont="1" applyFill="1" applyBorder="1" applyAlignment="1" applyProtection="1">
      <alignment horizontal="center" vertical="top"/>
      <protection hidden="1"/>
    </xf>
    <xf numFmtId="0" fontId="8" fillId="5" borderId="19" xfId="0" applyFont="1" applyFill="1" applyBorder="1" applyAlignment="1" applyProtection="1">
      <alignment horizontal="left" vertical="top"/>
      <protection hidden="1"/>
    </xf>
    <xf numFmtId="0" fontId="8" fillId="5" borderId="0" xfId="0" applyFont="1" applyFill="1" applyBorder="1" applyAlignment="1" applyProtection="1">
      <alignment horizontal="left" vertical="top"/>
      <protection hidden="1"/>
    </xf>
    <xf numFmtId="0" fontId="12" fillId="5" borderId="19" xfId="0" applyFont="1" applyFill="1" applyBorder="1" applyAlignment="1" applyProtection="1">
      <alignment horizontal="left"/>
      <protection hidden="1"/>
    </xf>
    <xf numFmtId="0" fontId="12" fillId="5" borderId="0" xfId="0" applyFont="1" applyFill="1" applyBorder="1" applyAlignment="1" applyProtection="1">
      <alignment horizontal="left"/>
      <protection hidden="1"/>
    </xf>
    <xf numFmtId="0" fontId="12" fillId="5" borderId="18" xfId="0" applyFont="1" applyFill="1" applyBorder="1" applyAlignment="1" applyProtection="1">
      <alignment horizontal="left"/>
      <protection hidden="1"/>
    </xf>
    <xf numFmtId="0" fontId="12" fillId="0" borderId="1" xfId="0" applyFont="1" applyBorder="1" applyAlignment="1" applyProtection="1">
      <alignment horizontal="center"/>
      <protection hidden="1"/>
    </xf>
    <xf numFmtId="0" fontId="12" fillId="0" borderId="3" xfId="0" applyFont="1" applyBorder="1" applyAlignment="1" applyProtection="1">
      <alignment horizontal="center"/>
      <protection hidden="1"/>
    </xf>
    <xf numFmtId="0" fontId="12" fillId="0" borderId="2" xfId="0" applyFont="1" applyBorder="1" applyAlignment="1" applyProtection="1">
      <alignment horizontal="center"/>
      <protection hidden="1"/>
    </xf>
    <xf numFmtId="0" fontId="38" fillId="0" borderId="11" xfId="0" applyFont="1" applyBorder="1" applyAlignment="1" applyProtection="1">
      <alignment horizontal="center" wrapText="1"/>
      <protection hidden="1"/>
    </xf>
    <xf numFmtId="0" fontId="38" fillId="0" borderId="13" xfId="0" applyFont="1" applyBorder="1" applyAlignment="1" applyProtection="1">
      <alignment horizontal="center" wrapText="1"/>
      <protection hidden="1"/>
    </xf>
    <xf numFmtId="0" fontId="38" fillId="0" borderId="19" xfId="0" applyFont="1" applyBorder="1" applyAlignment="1" applyProtection="1">
      <alignment horizontal="center" wrapText="1"/>
      <protection hidden="1"/>
    </xf>
    <xf numFmtId="0" fontId="38" fillId="0" borderId="18" xfId="0" applyFont="1" applyBorder="1" applyAlignment="1" applyProtection="1">
      <alignment horizontal="center" wrapText="1"/>
      <protection hidden="1"/>
    </xf>
    <xf numFmtId="0" fontId="38" fillId="0" borderId="20" xfId="0" applyFont="1" applyBorder="1" applyAlignment="1" applyProtection="1">
      <alignment horizontal="center" wrapText="1"/>
      <protection hidden="1"/>
    </xf>
    <xf numFmtId="0" fontId="38" fillId="0" borderId="17" xfId="0" applyFont="1" applyBorder="1" applyAlignment="1" applyProtection="1">
      <alignment horizontal="center" wrapText="1"/>
      <protection hidden="1"/>
    </xf>
    <xf numFmtId="0" fontId="12" fillId="5" borderId="19" xfId="0" applyFont="1" applyFill="1" applyBorder="1" applyAlignment="1" applyProtection="1">
      <alignment horizontal="left" vertical="top"/>
      <protection hidden="1"/>
    </xf>
    <xf numFmtId="0" fontId="12" fillId="5" borderId="0" xfId="0" applyFont="1" applyFill="1" applyBorder="1" applyAlignment="1" applyProtection="1">
      <alignment horizontal="left" vertical="top"/>
      <protection hidden="1"/>
    </xf>
    <xf numFmtId="0" fontId="12" fillId="5" borderId="18" xfId="0" applyFont="1" applyFill="1" applyBorder="1" applyAlignment="1" applyProtection="1">
      <alignment horizontal="left" vertical="top"/>
      <protection hidden="1"/>
    </xf>
    <xf numFmtId="0" fontId="42" fillId="0" borderId="1" xfId="0" applyFont="1" applyBorder="1" applyAlignment="1" applyProtection="1">
      <alignment horizontal="center"/>
      <protection hidden="1"/>
    </xf>
    <xf numFmtId="0" fontId="8" fillId="5" borderId="19" xfId="0" applyFont="1" applyFill="1" applyBorder="1" applyAlignment="1" applyProtection="1">
      <alignment horizontal="left"/>
      <protection hidden="1"/>
    </xf>
    <xf numFmtId="0" fontId="8" fillId="5" borderId="0" xfId="0" applyFont="1" applyFill="1" applyBorder="1" applyAlignment="1" applyProtection="1">
      <alignment horizontal="left"/>
      <protection hidden="1"/>
    </xf>
    <xf numFmtId="2" fontId="8" fillId="4" borderId="5" xfId="0" applyNumberFormat="1" applyFont="1" applyFill="1" applyBorder="1" applyAlignment="1" applyProtection="1">
      <alignment horizontal="center" vertical="top" wrapText="1"/>
      <protection hidden="1"/>
    </xf>
    <xf numFmtId="2" fontId="8" fillId="4" borderId="9" xfId="0" applyNumberFormat="1" applyFont="1" applyFill="1" applyBorder="1" applyAlignment="1" applyProtection="1">
      <alignment horizontal="center" vertical="top" wrapText="1"/>
      <protection hidden="1"/>
    </xf>
    <xf numFmtId="2" fontId="8" fillId="4" borderId="6" xfId="0" applyNumberFormat="1" applyFont="1" applyFill="1" applyBorder="1" applyAlignment="1" applyProtection="1">
      <alignment horizontal="center" vertical="top" wrapText="1"/>
      <protection hidden="1"/>
    </xf>
    <xf numFmtId="0" fontId="8" fillId="3" borderId="99" xfId="0" applyFont="1" applyFill="1" applyBorder="1" applyAlignment="1" applyProtection="1">
      <alignment horizontal="center" vertical="center" wrapText="1"/>
      <protection hidden="1"/>
    </xf>
    <xf numFmtId="0" fontId="8" fillId="3" borderId="100" xfId="0" applyFont="1" applyFill="1" applyBorder="1" applyAlignment="1" applyProtection="1">
      <alignment horizontal="center" vertical="center" wrapText="1"/>
      <protection hidden="1"/>
    </xf>
    <xf numFmtId="0" fontId="8" fillId="8" borderId="1" xfId="0" applyFont="1" applyFill="1" applyBorder="1" applyAlignment="1" applyProtection="1">
      <alignment horizontal="center"/>
      <protection hidden="1"/>
    </xf>
    <xf numFmtId="0" fontId="8" fillId="8" borderId="3" xfId="0" applyFont="1" applyFill="1" applyBorder="1" applyAlignment="1" applyProtection="1">
      <alignment horizontal="center"/>
      <protection hidden="1"/>
    </xf>
    <xf numFmtId="0" fontId="8" fillId="8" borderId="2" xfId="0" applyFont="1" applyFill="1" applyBorder="1" applyAlignment="1" applyProtection="1">
      <alignment horizontal="center"/>
      <protection hidden="1"/>
    </xf>
    <xf numFmtId="0" fontId="8" fillId="3" borderId="90" xfId="0" applyFont="1" applyFill="1" applyBorder="1" applyAlignment="1" applyProtection="1">
      <alignment horizontal="left"/>
      <protection hidden="1"/>
    </xf>
    <xf numFmtId="0" fontId="8" fillId="3" borderId="24" xfId="0" applyFont="1" applyFill="1" applyBorder="1" applyAlignment="1" applyProtection="1">
      <alignment horizontal="left"/>
      <protection hidden="1"/>
    </xf>
    <xf numFmtId="0" fontId="8" fillId="3" borderId="89" xfId="0" applyFont="1" applyFill="1" applyBorder="1" applyAlignment="1" applyProtection="1">
      <alignment horizontal="left"/>
      <protection hidden="1"/>
    </xf>
    <xf numFmtId="0" fontId="8" fillId="3" borderId="55" xfId="0" applyFont="1" applyFill="1" applyBorder="1" applyAlignment="1" applyProtection="1">
      <alignment horizontal="left"/>
      <protection hidden="1"/>
    </xf>
    <xf numFmtId="2" fontId="8" fillId="8" borderId="47" xfId="0" applyNumberFormat="1" applyFont="1" applyFill="1" applyBorder="1" applyAlignment="1" applyProtection="1">
      <alignment horizontal="center"/>
      <protection hidden="1"/>
    </xf>
    <xf numFmtId="2" fontId="8" fillId="8" borderId="48" xfId="0" applyNumberFormat="1" applyFont="1" applyFill="1" applyBorder="1" applyAlignment="1" applyProtection="1">
      <alignment horizontal="center"/>
      <protection hidden="1"/>
    </xf>
    <xf numFmtId="0" fontId="8" fillId="3" borderId="22" xfId="0" applyFont="1" applyFill="1" applyBorder="1" applyAlignment="1" applyProtection="1">
      <alignment horizontal="center"/>
      <protection hidden="1"/>
    </xf>
    <xf numFmtId="0" fontId="8" fillId="3" borderId="60" xfId="0" applyFont="1" applyFill="1" applyBorder="1" applyAlignment="1" applyProtection="1">
      <alignment horizontal="center"/>
      <protection hidden="1"/>
    </xf>
    <xf numFmtId="0" fontId="8" fillId="0" borderId="11" xfId="0" applyFont="1" applyBorder="1" applyAlignment="1" applyProtection="1">
      <alignment horizontal="left"/>
      <protection hidden="1"/>
    </xf>
    <xf numFmtId="0" fontId="8" fillId="0" borderId="12" xfId="0" applyFont="1" applyBorder="1" applyAlignment="1" applyProtection="1">
      <alignment horizontal="left"/>
      <protection hidden="1"/>
    </xf>
    <xf numFmtId="0" fontId="8" fillId="0" borderId="13" xfId="0" applyFont="1" applyBorder="1" applyAlignment="1" applyProtection="1">
      <alignment horizontal="left"/>
      <protection hidden="1"/>
    </xf>
    <xf numFmtId="0" fontId="8" fillId="0" borderId="1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18" xfId="0" applyFont="1" applyBorder="1" applyAlignment="1" applyProtection="1">
      <alignment horizontal="left"/>
      <protection hidden="1"/>
    </xf>
    <xf numFmtId="0" fontId="8" fillId="3" borderId="91" xfId="0" applyFont="1" applyFill="1" applyBorder="1" applyAlignment="1" applyProtection="1">
      <alignment horizontal="left"/>
      <protection hidden="1"/>
    </xf>
    <xf numFmtId="0" fontId="8" fillId="3" borderId="79" xfId="0" applyFont="1" applyFill="1" applyBorder="1" applyAlignment="1" applyProtection="1">
      <alignment horizontal="left"/>
      <protection hidden="1"/>
    </xf>
    <xf numFmtId="0" fontId="8" fillId="3" borderId="11" xfId="0" applyFont="1" applyFill="1" applyBorder="1" applyAlignment="1" applyProtection="1">
      <alignment horizontal="left"/>
      <protection hidden="1"/>
    </xf>
    <xf numFmtId="0" fontId="8" fillId="3" borderId="88" xfId="0" applyFont="1" applyFill="1" applyBorder="1" applyAlignment="1" applyProtection="1">
      <alignment horizontal="left"/>
      <protection hidden="1"/>
    </xf>
    <xf numFmtId="166" fontId="8" fillId="0" borderId="21" xfId="0" applyNumberFormat="1" applyFont="1" applyBorder="1" applyAlignment="1" applyProtection="1">
      <alignment horizontal="center"/>
      <protection locked="0" hidden="1"/>
    </xf>
    <xf numFmtId="166" fontId="8" fillId="0" borderId="61" xfId="0" applyNumberFormat="1" applyFont="1" applyBorder="1" applyAlignment="1" applyProtection="1">
      <alignment horizontal="center"/>
      <protection locked="0" hidden="1"/>
    </xf>
    <xf numFmtId="0" fontId="8" fillId="0" borderId="22" xfId="0" applyFont="1" applyBorder="1" applyAlignment="1" applyProtection="1">
      <alignment horizontal="center"/>
      <protection locked="0" hidden="1"/>
    </xf>
    <xf numFmtId="0" fontId="8" fillId="0" borderId="24" xfId="0" applyFont="1" applyBorder="1" applyAlignment="1" applyProtection="1">
      <alignment horizontal="center"/>
      <protection locked="0" hidden="1"/>
    </xf>
    <xf numFmtId="49" fontId="8" fillId="0" borderId="52" xfId="0" applyNumberFormat="1" applyFont="1" applyBorder="1" applyAlignment="1" applyProtection="1">
      <alignment horizontal="center"/>
      <protection locked="0" hidden="1"/>
    </xf>
    <xf numFmtId="49" fontId="8" fillId="0" borderId="46" xfId="0" applyNumberFormat="1" applyFont="1" applyBorder="1" applyAlignment="1" applyProtection="1">
      <alignment horizontal="center"/>
      <protection locked="0" hidden="1"/>
    </xf>
    <xf numFmtId="49" fontId="8" fillId="0" borderId="59" xfId="0" applyNumberFormat="1" applyFont="1" applyBorder="1" applyAlignment="1" applyProtection="1">
      <alignment horizontal="center"/>
      <protection locked="0" hidden="1"/>
    </xf>
    <xf numFmtId="49" fontId="8" fillId="0" borderId="22" xfId="0" applyNumberFormat="1" applyFont="1" applyBorder="1" applyAlignment="1" applyProtection="1">
      <alignment horizontal="center"/>
      <protection locked="0" hidden="1"/>
    </xf>
    <xf numFmtId="49" fontId="8" fillId="0" borderId="24" xfId="0" applyNumberFormat="1" applyFont="1" applyBorder="1" applyAlignment="1" applyProtection="1">
      <alignment horizontal="center"/>
      <protection locked="0" hidden="1"/>
    </xf>
    <xf numFmtId="165" fontId="8" fillId="0" borderId="38" xfId="0" applyNumberFormat="1" applyFont="1" applyBorder="1" applyAlignment="1" applyProtection="1">
      <alignment horizontal="center"/>
      <protection locked="0" hidden="1"/>
    </xf>
    <xf numFmtId="165" fontId="8" fillId="0" borderId="92" xfId="0" applyNumberFormat="1" applyFont="1" applyBorder="1" applyAlignment="1" applyProtection="1">
      <alignment horizontal="center"/>
      <protection locked="0" hidden="1"/>
    </xf>
    <xf numFmtId="0" fontId="8" fillId="0" borderId="54" xfId="0" applyNumberFormat="1" applyFont="1" applyBorder="1" applyAlignment="1" applyProtection="1">
      <alignment horizontal="center"/>
      <protection locked="0" hidden="1"/>
    </xf>
    <xf numFmtId="0" fontId="8" fillId="0" borderId="62" xfId="0" applyNumberFormat="1" applyFont="1" applyBorder="1" applyAlignment="1" applyProtection="1">
      <alignment horizontal="center"/>
      <protection locked="0" hidden="1"/>
    </xf>
    <xf numFmtId="0" fontId="10" fillId="2" borderId="11" xfId="0" applyFont="1" applyFill="1" applyBorder="1" applyAlignment="1" applyProtection="1">
      <alignment horizontal="center" vertical="top" wrapText="1"/>
    </xf>
    <xf numFmtId="0" fontId="10" fillId="2" borderId="12" xfId="0" applyFont="1" applyFill="1" applyBorder="1" applyAlignment="1" applyProtection="1">
      <alignment horizontal="center" vertical="top" wrapText="1"/>
    </xf>
    <xf numFmtId="0" fontId="10" fillId="2" borderId="13" xfId="0" applyFont="1" applyFill="1" applyBorder="1" applyAlignment="1" applyProtection="1">
      <alignment horizontal="center" vertical="top" wrapText="1"/>
    </xf>
    <xf numFmtId="0" fontId="8" fillId="8" borderId="11" xfId="0" applyFont="1" applyFill="1" applyBorder="1" applyAlignment="1" applyProtection="1">
      <alignment horizontal="center" vertical="center"/>
      <protection hidden="1"/>
    </xf>
    <xf numFmtId="0" fontId="8" fillId="8" borderId="13" xfId="0" applyFont="1" applyFill="1" applyBorder="1" applyAlignment="1" applyProtection="1">
      <alignment horizontal="center" vertical="center"/>
      <protection hidden="1"/>
    </xf>
    <xf numFmtId="0" fontId="8" fillId="8" borderId="19" xfId="0" applyFont="1" applyFill="1" applyBorder="1" applyAlignment="1" applyProtection="1">
      <alignment horizontal="center" vertical="center"/>
      <protection hidden="1"/>
    </xf>
    <xf numFmtId="0" fontId="8" fillId="8" borderId="18" xfId="0" applyFont="1" applyFill="1" applyBorder="1" applyAlignment="1" applyProtection="1">
      <alignment horizontal="center" vertical="center"/>
      <protection hidden="1"/>
    </xf>
    <xf numFmtId="0" fontId="8" fillId="8" borderId="20" xfId="0" applyFont="1" applyFill="1" applyBorder="1" applyAlignment="1" applyProtection="1">
      <alignment horizontal="center" vertical="center"/>
      <protection hidden="1"/>
    </xf>
    <xf numFmtId="0" fontId="8" fillId="8" borderId="17" xfId="0" applyFont="1" applyFill="1" applyBorder="1" applyAlignment="1" applyProtection="1">
      <alignment horizontal="center" vertical="center"/>
      <protection hidden="1"/>
    </xf>
    <xf numFmtId="0" fontId="8" fillId="8" borderId="47" xfId="0" applyFont="1" applyFill="1" applyBorder="1" applyAlignment="1" applyProtection="1">
      <alignment horizontal="center"/>
      <protection hidden="1"/>
    </xf>
    <xf numFmtId="0" fontId="8" fillId="8" borderId="48" xfId="0" applyFont="1" applyFill="1" applyBorder="1" applyAlignment="1" applyProtection="1">
      <alignment horizontal="center"/>
      <protection hidden="1"/>
    </xf>
    <xf numFmtId="0" fontId="10" fillId="2" borderId="12" xfId="0" applyFont="1" applyFill="1" applyBorder="1" applyAlignment="1" applyProtection="1">
      <alignment horizontal="center" vertical="top" wrapText="1"/>
      <protection hidden="1"/>
    </xf>
    <xf numFmtId="0" fontId="10" fillId="2" borderId="13" xfId="0" applyFont="1" applyFill="1" applyBorder="1" applyAlignment="1" applyProtection="1">
      <alignment horizontal="center" vertical="top" wrapText="1"/>
      <protection hidden="1"/>
    </xf>
    <xf numFmtId="49" fontId="8" fillId="0" borderId="23" xfId="0" applyNumberFormat="1" applyFont="1" applyBorder="1" applyAlignment="1" applyProtection="1">
      <alignment horizontal="center"/>
      <protection locked="0" hidden="1"/>
    </xf>
    <xf numFmtId="49" fontId="8" fillId="0" borderId="60" xfId="0" applyNumberFormat="1" applyFont="1" applyBorder="1" applyAlignment="1" applyProtection="1">
      <alignment horizontal="center"/>
      <protection locked="0" hidden="1"/>
    </xf>
    <xf numFmtId="0" fontId="12" fillId="0" borderId="11" xfId="0" applyFont="1" applyBorder="1" applyAlignment="1" applyProtection="1">
      <alignment horizontal="center" vertical="top" wrapText="1"/>
      <protection hidden="1"/>
    </xf>
    <xf numFmtId="0" fontId="12" fillId="0" borderId="13" xfId="0" applyFont="1" applyBorder="1" applyAlignment="1" applyProtection="1">
      <alignment horizontal="center" vertical="top" wrapText="1"/>
      <protection hidden="1"/>
    </xf>
    <xf numFmtId="0" fontId="12" fillId="0" borderId="19" xfId="0" applyFont="1" applyBorder="1" applyAlignment="1" applyProtection="1">
      <alignment horizontal="center" vertical="top" wrapText="1"/>
      <protection hidden="1"/>
    </xf>
    <xf numFmtId="0" fontId="12" fillId="0" borderId="18" xfId="0" applyFont="1" applyBorder="1" applyAlignment="1" applyProtection="1">
      <alignment horizontal="center" vertical="top" wrapText="1"/>
      <protection hidden="1"/>
    </xf>
    <xf numFmtId="0" fontId="12" fillId="0" borderId="20" xfId="0" applyFont="1" applyBorder="1" applyAlignment="1" applyProtection="1">
      <alignment horizontal="center" vertical="top" wrapText="1"/>
      <protection hidden="1"/>
    </xf>
    <xf numFmtId="0" fontId="12" fillId="0" borderId="17" xfId="0" applyFont="1" applyBorder="1" applyAlignment="1" applyProtection="1">
      <alignment horizontal="center" vertical="top" wrapText="1"/>
      <protection hidden="1"/>
    </xf>
    <xf numFmtId="0" fontId="8" fillId="0" borderId="20" xfId="0" applyFont="1" applyBorder="1" applyAlignment="1" applyProtection="1">
      <alignment horizontal="left"/>
      <protection hidden="1"/>
    </xf>
    <xf numFmtId="0" fontId="8" fillId="0" borderId="16" xfId="0" applyFont="1" applyBorder="1" applyAlignment="1" applyProtection="1">
      <alignment horizontal="left"/>
      <protection hidden="1"/>
    </xf>
    <xf numFmtId="0" fontId="8" fillId="0" borderId="17" xfId="0" applyFont="1" applyBorder="1" applyAlignment="1" applyProtection="1">
      <alignment horizontal="left"/>
      <protection hidden="1"/>
    </xf>
    <xf numFmtId="0" fontId="8" fillId="3" borderId="19" xfId="0" applyFont="1" applyFill="1" applyBorder="1" applyAlignment="1" applyProtection="1">
      <alignment horizontal="center" vertical="center"/>
      <protection hidden="1"/>
    </xf>
    <xf numFmtId="0" fontId="8" fillId="3" borderId="53" xfId="0" applyFont="1" applyFill="1" applyBorder="1" applyAlignment="1" applyProtection="1">
      <alignment horizontal="center" vertical="center"/>
      <protection hidden="1"/>
    </xf>
    <xf numFmtId="0" fontId="8" fillId="0" borderId="57" xfId="0" applyFont="1" applyBorder="1" applyAlignment="1" applyProtection="1">
      <alignment horizontal="left" vertical="top" wrapText="1"/>
      <protection locked="0" hidden="1"/>
    </xf>
    <xf numFmtId="49" fontId="8" fillId="0" borderId="57" xfId="0" applyNumberFormat="1" applyFont="1" applyBorder="1" applyAlignment="1" applyProtection="1">
      <alignment horizontal="left" vertical="top"/>
      <protection locked="0" hidden="1"/>
    </xf>
    <xf numFmtId="49" fontId="8" fillId="0" borderId="58" xfId="0" applyNumberFormat="1" applyFont="1" applyBorder="1" applyAlignment="1" applyProtection="1">
      <alignment horizontal="left" vertical="top"/>
      <protection locked="0" hidden="1"/>
    </xf>
    <xf numFmtId="0" fontId="10" fillId="2" borderId="11" xfId="0" applyFont="1" applyFill="1" applyBorder="1" applyAlignment="1" applyProtection="1">
      <alignment horizontal="center" vertical="top" wrapText="1"/>
      <protection hidden="1"/>
    </xf>
    <xf numFmtId="0" fontId="8" fillId="3" borderId="1" xfId="0" applyFont="1" applyFill="1" applyBorder="1" applyAlignment="1" applyProtection="1">
      <alignment horizontal="center" vertical="center" wrapText="1"/>
      <protection hidden="1"/>
    </xf>
    <xf numFmtId="0" fontId="8" fillId="3" borderId="87" xfId="0" applyFont="1" applyFill="1" applyBorder="1" applyAlignment="1" applyProtection="1">
      <alignment horizontal="center" vertical="center" wrapText="1"/>
      <protection hidden="1"/>
    </xf>
    <xf numFmtId="0" fontId="11" fillId="0" borderId="86" xfId="0" applyFont="1" applyBorder="1" applyAlignment="1" applyProtection="1">
      <alignment horizontal="center" vertical="center" wrapText="1"/>
      <protection locked="0" hidden="1"/>
    </xf>
    <xf numFmtId="0" fontId="11" fillId="0" borderId="3" xfId="0" applyFont="1" applyBorder="1" applyAlignment="1" applyProtection="1">
      <alignment horizontal="center" vertical="center" wrapText="1"/>
      <protection locked="0" hidden="1"/>
    </xf>
    <xf numFmtId="0" fontId="11" fillId="0" borderId="2" xfId="0" applyFont="1" applyBorder="1" applyAlignment="1" applyProtection="1">
      <alignment horizontal="center" vertical="center" wrapText="1"/>
      <protection locked="0" hidden="1"/>
    </xf>
    <xf numFmtId="0" fontId="10" fillId="2" borderId="1" xfId="0" applyFont="1" applyFill="1" applyBorder="1" applyAlignment="1" applyProtection="1">
      <alignment horizontal="left" wrapText="1"/>
      <protection hidden="1"/>
    </xf>
    <xf numFmtId="0" fontId="10" fillId="2" borderId="3" xfId="0" applyFont="1" applyFill="1" applyBorder="1" applyAlignment="1" applyProtection="1">
      <alignment horizontal="left" wrapText="1"/>
      <protection hidden="1"/>
    </xf>
    <xf numFmtId="0" fontId="10" fillId="2" borderId="2" xfId="0" applyFont="1" applyFill="1" applyBorder="1" applyAlignment="1" applyProtection="1">
      <alignment horizontal="left" wrapText="1"/>
      <protection hidden="1"/>
    </xf>
    <xf numFmtId="0" fontId="8" fillId="3" borderId="40" xfId="0" applyFont="1" applyFill="1" applyBorder="1" applyAlignment="1" applyProtection="1">
      <alignment horizontal="center" vertical="center" wrapText="1"/>
      <protection hidden="1"/>
    </xf>
    <xf numFmtId="0" fontId="10" fillId="3" borderId="41" xfId="0" applyFont="1" applyFill="1" applyBorder="1" applyAlignment="1" applyProtection="1">
      <alignment horizontal="center" vertical="center" wrapText="1"/>
      <protection hidden="1"/>
    </xf>
    <xf numFmtId="0" fontId="10" fillId="3" borderId="42" xfId="0" applyFont="1" applyFill="1" applyBorder="1" applyAlignment="1" applyProtection="1">
      <alignment horizontal="center" vertical="center" wrapText="1"/>
      <protection hidden="1"/>
    </xf>
    <xf numFmtId="0" fontId="8" fillId="4" borderId="14" xfId="0" applyFont="1" applyFill="1" applyBorder="1" applyAlignment="1" applyProtection="1">
      <alignment horizontal="center" vertical="center" wrapText="1"/>
      <protection locked="0" hidden="1"/>
    </xf>
    <xf numFmtId="0" fontId="10" fillId="4" borderId="15" xfId="0" applyFont="1" applyFill="1" applyBorder="1" applyAlignment="1" applyProtection="1">
      <alignment horizontal="center" vertical="center" wrapText="1"/>
      <protection locked="0" hidden="1"/>
    </xf>
    <xf numFmtId="0" fontId="8" fillId="3" borderId="10" xfId="0" applyFont="1" applyFill="1" applyBorder="1" applyAlignment="1" applyProtection="1">
      <alignment horizontal="center" vertical="center" wrapText="1"/>
      <protection hidden="1"/>
    </xf>
    <xf numFmtId="0" fontId="8" fillId="3" borderId="4" xfId="0" applyFont="1" applyFill="1" applyBorder="1" applyAlignment="1" applyProtection="1">
      <alignment horizontal="center" vertical="center" wrapText="1"/>
      <protection hidden="1"/>
    </xf>
    <xf numFmtId="0" fontId="8" fillId="3" borderId="43" xfId="0" applyFont="1" applyFill="1" applyBorder="1" applyAlignment="1" applyProtection="1">
      <alignment horizontal="center" vertical="center" wrapText="1"/>
      <protection hidden="1"/>
    </xf>
    <xf numFmtId="0" fontId="8" fillId="3" borderId="44" xfId="0" applyFont="1" applyFill="1" applyBorder="1" applyAlignment="1" applyProtection="1">
      <alignment horizontal="center" vertical="center" wrapText="1"/>
      <protection hidden="1"/>
    </xf>
    <xf numFmtId="0" fontId="8" fillId="4" borderId="43" xfId="0" applyFont="1" applyFill="1" applyBorder="1" applyAlignment="1" applyProtection="1">
      <alignment horizontal="center" vertical="center" wrapText="1"/>
      <protection locked="0" hidden="1"/>
    </xf>
    <xf numFmtId="0" fontId="8" fillId="4" borderId="44" xfId="0" applyFont="1" applyFill="1" applyBorder="1" applyAlignment="1" applyProtection="1">
      <alignment horizontal="center" vertical="center" wrapText="1"/>
      <protection locked="0" hidden="1"/>
    </xf>
    <xf numFmtId="0" fontId="10" fillId="2" borderId="1" xfId="0" applyFont="1" applyFill="1" applyBorder="1" applyAlignment="1" applyProtection="1">
      <alignment horizontal="center" wrapText="1"/>
      <protection hidden="1"/>
    </xf>
    <xf numFmtId="0" fontId="10" fillId="2" borderId="3" xfId="0" applyFont="1" applyFill="1" applyBorder="1" applyAlignment="1" applyProtection="1">
      <alignment horizontal="center" wrapText="1"/>
      <protection hidden="1"/>
    </xf>
    <xf numFmtId="0" fontId="10" fillId="0" borderId="3" xfId="0" applyFont="1" applyFill="1" applyBorder="1" applyAlignment="1" applyProtection="1">
      <alignment horizontal="center" wrapText="1"/>
      <protection locked="0" hidden="1"/>
    </xf>
    <xf numFmtId="0" fontId="10" fillId="0" borderId="2" xfId="0" applyFont="1" applyFill="1" applyBorder="1" applyAlignment="1" applyProtection="1">
      <alignment horizontal="center" wrapText="1"/>
      <protection locked="0" hidden="1"/>
    </xf>
    <xf numFmtId="0" fontId="10" fillId="2" borderId="1" xfId="0" applyFont="1" applyFill="1" applyBorder="1" applyAlignment="1" applyProtection="1">
      <alignment horizontal="left" vertical="top"/>
      <protection hidden="1"/>
    </xf>
    <xf numFmtId="0" fontId="10" fillId="2" borderId="3" xfId="0" applyFont="1" applyFill="1" applyBorder="1" applyAlignment="1" applyProtection="1">
      <alignment horizontal="left" vertical="top"/>
      <protection hidden="1"/>
    </xf>
    <xf numFmtId="0" fontId="10" fillId="2" borderId="2" xfId="0" applyFont="1" applyFill="1" applyBorder="1" applyAlignment="1" applyProtection="1">
      <alignment horizontal="left" vertical="top"/>
      <protection hidden="1"/>
    </xf>
    <xf numFmtId="0" fontId="11" fillId="3" borderId="11" xfId="0" applyFont="1" applyFill="1" applyBorder="1" applyAlignment="1" applyProtection="1">
      <alignment horizontal="center" vertical="top" wrapText="1"/>
      <protection hidden="1"/>
    </xf>
    <xf numFmtId="0" fontId="11" fillId="3" borderId="12" xfId="0" applyFont="1" applyFill="1" applyBorder="1" applyAlignment="1" applyProtection="1">
      <alignment horizontal="center" vertical="top" wrapText="1"/>
      <protection hidden="1"/>
    </xf>
    <xf numFmtId="0" fontId="11" fillId="3" borderId="13" xfId="0" applyFont="1" applyFill="1" applyBorder="1" applyAlignment="1" applyProtection="1">
      <alignment horizontal="center" vertical="top" wrapText="1"/>
      <protection hidden="1"/>
    </xf>
    <xf numFmtId="0" fontId="11" fillId="3" borderId="20" xfId="0" applyFont="1" applyFill="1" applyBorder="1" applyAlignment="1" applyProtection="1">
      <alignment horizontal="center" vertical="top" wrapText="1"/>
      <protection hidden="1"/>
    </xf>
    <xf numFmtId="0" fontId="11" fillId="3" borderId="16" xfId="0" applyFont="1" applyFill="1" applyBorder="1" applyAlignment="1" applyProtection="1">
      <alignment horizontal="center" vertical="top" wrapText="1"/>
      <protection hidden="1"/>
    </xf>
    <xf numFmtId="0" fontId="11" fillId="3" borderId="17" xfId="0" applyFont="1" applyFill="1" applyBorder="1" applyAlignment="1" applyProtection="1">
      <alignment horizontal="center" vertical="top" wrapText="1"/>
      <protection hidden="1"/>
    </xf>
    <xf numFmtId="0" fontId="8" fillId="0" borderId="11" xfId="0" applyFont="1" applyBorder="1" applyAlignment="1" applyProtection="1">
      <alignment horizontal="left" vertical="top" wrapText="1"/>
      <protection locked="0" hidden="1"/>
    </xf>
    <xf numFmtId="0" fontId="8" fillId="0" borderId="12" xfId="0" applyFont="1" applyBorder="1" applyAlignment="1" applyProtection="1">
      <alignment horizontal="left" vertical="top" wrapText="1"/>
      <protection locked="0" hidden="1"/>
    </xf>
    <xf numFmtId="0" fontId="8" fillId="0" borderId="13" xfId="0" applyFont="1" applyBorder="1" applyAlignment="1" applyProtection="1">
      <alignment horizontal="left" vertical="top" wrapText="1"/>
      <protection locked="0" hidden="1"/>
    </xf>
    <xf numFmtId="0" fontId="8" fillId="0" borderId="19" xfId="0" applyFont="1" applyBorder="1" applyAlignment="1" applyProtection="1">
      <alignment horizontal="left" vertical="top" wrapText="1"/>
      <protection locked="0" hidden="1"/>
    </xf>
    <xf numFmtId="0" fontId="8" fillId="0" borderId="0" xfId="0" applyFont="1" applyBorder="1" applyAlignment="1" applyProtection="1">
      <alignment horizontal="left" vertical="top" wrapText="1"/>
      <protection locked="0" hidden="1"/>
    </xf>
    <xf numFmtId="0" fontId="8" fillId="0" borderId="18" xfId="0" applyFont="1" applyBorder="1" applyAlignment="1" applyProtection="1">
      <alignment horizontal="left" vertical="top" wrapText="1"/>
      <protection locked="0" hidden="1"/>
    </xf>
    <xf numFmtId="0" fontId="8" fillId="0" borderId="20" xfId="0" applyFont="1" applyBorder="1" applyAlignment="1" applyProtection="1">
      <alignment horizontal="left" vertical="top" wrapText="1"/>
      <protection locked="0" hidden="1"/>
    </xf>
    <xf numFmtId="0" fontId="8" fillId="0" borderId="16" xfId="0" applyFont="1" applyBorder="1" applyAlignment="1" applyProtection="1">
      <alignment horizontal="left" vertical="top" wrapText="1"/>
      <protection locked="0" hidden="1"/>
    </xf>
    <xf numFmtId="0" fontId="8" fillId="0" borderId="17" xfId="0" applyFont="1" applyBorder="1" applyAlignment="1" applyProtection="1">
      <alignment horizontal="left" vertical="top" wrapText="1"/>
      <protection locked="0" hidden="1"/>
    </xf>
    <xf numFmtId="0" fontId="8" fillId="0" borderId="43" xfId="0" applyNumberFormat="1" applyFont="1" applyBorder="1" applyAlignment="1" applyProtection="1">
      <protection locked="0" hidden="1"/>
    </xf>
    <xf numFmtId="0" fontId="8" fillId="0" borderId="44" xfId="0" applyNumberFormat="1" applyFont="1" applyBorder="1" applyAlignment="1" applyProtection="1">
      <protection locked="0" hidden="1"/>
    </xf>
    <xf numFmtId="0" fontId="8" fillId="2" borderId="25" xfId="0" applyFont="1" applyFill="1" applyBorder="1" applyAlignment="1" applyProtection="1">
      <alignment horizontal="right"/>
      <protection hidden="1"/>
    </xf>
    <xf numFmtId="0" fontId="8" fillId="2" borderId="26" xfId="0" applyFont="1" applyFill="1" applyBorder="1" applyAlignment="1" applyProtection="1">
      <alignment horizontal="right"/>
      <protection hidden="1"/>
    </xf>
    <xf numFmtId="0" fontId="8" fillId="2" borderId="45" xfId="0" applyFont="1" applyFill="1" applyBorder="1" applyAlignment="1" applyProtection="1">
      <alignment horizontal="right"/>
      <protection hidden="1"/>
    </xf>
    <xf numFmtId="0" fontId="8" fillId="0" borderId="45" xfId="0" applyFont="1" applyBorder="1" applyAlignment="1" applyProtection="1">
      <alignment horizontal="center"/>
      <protection hidden="1"/>
    </xf>
    <xf numFmtId="0" fontId="8" fillId="0" borderId="17" xfId="0" applyFont="1" applyBorder="1" applyAlignment="1" applyProtection="1">
      <alignment horizontal="center"/>
      <protection hidden="1"/>
    </xf>
    <xf numFmtId="0" fontId="12" fillId="0" borderId="12" xfId="0" applyFont="1" applyBorder="1" applyAlignment="1" applyProtection="1">
      <alignment horizontal="center" vertical="top" wrapText="1"/>
      <protection hidden="1"/>
    </xf>
    <xf numFmtId="0" fontId="12" fillId="0" borderId="0" xfId="0" applyFont="1" applyBorder="1" applyAlignment="1" applyProtection="1">
      <alignment horizontal="center" vertical="top" wrapText="1"/>
      <protection hidden="1"/>
    </xf>
    <xf numFmtId="0" fontId="12" fillId="0" borderId="16" xfId="0" applyFont="1" applyBorder="1" applyAlignment="1" applyProtection="1">
      <alignment horizontal="center" vertical="top" wrapText="1"/>
      <protection hidden="1"/>
    </xf>
    <xf numFmtId="0" fontId="12" fillId="0" borderId="0" xfId="0" applyFont="1" applyBorder="1" applyAlignment="1" applyProtection="1">
      <alignment horizontal="center"/>
      <protection hidden="1"/>
    </xf>
    <xf numFmtId="0" fontId="12" fillId="0" borderId="16" xfId="0" applyFont="1" applyBorder="1" applyAlignment="1" applyProtection="1">
      <alignment horizontal="center"/>
      <protection hidden="1"/>
    </xf>
    <xf numFmtId="0" fontId="12" fillId="0" borderId="1" xfId="0" applyFont="1" applyBorder="1" applyAlignment="1" applyProtection="1">
      <alignment horizontal="left"/>
      <protection hidden="1"/>
    </xf>
    <xf numFmtId="0" fontId="12" fillId="0" borderId="3" xfId="0" applyFont="1" applyBorder="1" applyAlignment="1" applyProtection="1">
      <alignment horizontal="left"/>
      <protection hidden="1"/>
    </xf>
    <xf numFmtId="0" fontId="12" fillId="0" borderId="2" xfId="0" applyFont="1" applyBorder="1" applyAlignment="1" applyProtection="1">
      <alignment horizontal="left"/>
      <protection hidden="1"/>
    </xf>
    <xf numFmtId="0" fontId="13" fillId="0" borderId="19" xfId="0" applyFont="1" applyFill="1" applyBorder="1" applyAlignment="1" applyProtection="1">
      <alignment horizontal="left" vertical="top" wrapText="1"/>
      <protection hidden="1"/>
    </xf>
    <xf numFmtId="0" fontId="13" fillId="0" borderId="0" xfId="0" applyFont="1" applyFill="1" applyBorder="1" applyAlignment="1" applyProtection="1">
      <alignment horizontal="left" vertical="top" wrapText="1"/>
      <protection hidden="1"/>
    </xf>
    <xf numFmtId="0" fontId="13" fillId="0" borderId="18" xfId="0" applyFont="1" applyFill="1" applyBorder="1" applyAlignment="1" applyProtection="1">
      <alignment horizontal="left" vertical="top" wrapText="1"/>
      <protection hidden="1"/>
    </xf>
    <xf numFmtId="0" fontId="0" fillId="0" borderId="11" xfId="0" applyBorder="1" applyAlignment="1" applyProtection="1">
      <alignment horizontal="center"/>
      <protection hidden="1"/>
    </xf>
    <xf numFmtId="0" fontId="0" fillId="0" borderId="12" xfId="0" applyBorder="1" applyAlignment="1" applyProtection="1">
      <alignment horizontal="center"/>
      <protection hidden="1"/>
    </xf>
    <xf numFmtId="0" fontId="0" fillId="0" borderId="13" xfId="0" applyBorder="1" applyAlignment="1" applyProtection="1">
      <alignment horizontal="center"/>
      <protection hidden="1"/>
    </xf>
    <xf numFmtId="0" fontId="8" fillId="0" borderId="43" xfId="0" applyFont="1" applyFill="1" applyBorder="1" applyAlignment="1" applyProtection="1">
      <alignment vertical="center" wrapText="1"/>
      <protection locked="0" hidden="1"/>
    </xf>
    <xf numFmtId="0" fontId="8" fillId="0" borderId="44" xfId="0" applyFont="1" applyFill="1" applyBorder="1" applyAlignment="1" applyProtection="1">
      <alignment vertical="center" wrapText="1"/>
      <protection locked="0" hidden="1"/>
    </xf>
    <xf numFmtId="0" fontId="12" fillId="6" borderId="19" xfId="0" applyFont="1" applyFill="1" applyBorder="1" applyAlignment="1" applyProtection="1">
      <alignment horizontal="center" vertical="top"/>
      <protection hidden="1"/>
    </xf>
    <xf numFmtId="0" fontId="12" fillId="6" borderId="0" xfId="0" applyFont="1" applyFill="1" applyBorder="1" applyAlignment="1" applyProtection="1">
      <alignment horizontal="center" vertical="top"/>
      <protection hidden="1"/>
    </xf>
    <xf numFmtId="0" fontId="12" fillId="6" borderId="18" xfId="0" applyFont="1" applyFill="1" applyBorder="1" applyAlignment="1" applyProtection="1">
      <alignment horizontal="center" vertical="top"/>
      <protection hidden="1"/>
    </xf>
    <xf numFmtId="0" fontId="39" fillId="0" borderId="1" xfId="0" applyFont="1" applyBorder="1" applyAlignment="1" applyProtection="1">
      <alignment horizontal="center"/>
      <protection hidden="1"/>
    </xf>
  </cellXfs>
  <cellStyles count="4">
    <cellStyle name="Currency" xfId="2" builtinId="4"/>
    <cellStyle name="Hyperlink" xfId="1" builtinId="8"/>
    <cellStyle name="Normal" xfId="0" builtinId="0"/>
    <cellStyle name="Percent" xfId="3" builtinId="5"/>
  </cellStyles>
  <dxfs count="45">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strike/>
      </font>
    </dxf>
    <dxf>
      <font>
        <strike/>
      </font>
    </dxf>
    <dxf>
      <font>
        <strike/>
      </font>
    </dxf>
    <dxf>
      <font>
        <strike/>
      </font>
    </dxf>
    <dxf>
      <font>
        <strike/>
      </font>
    </dxf>
    <dxf>
      <font>
        <strike/>
      </font>
    </dxf>
    <dxf>
      <font>
        <strike/>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s>
  <tableStyles count="0" defaultTableStyle="TableStyleMedium2" defaultPivotStyle="PivotStyleLight16"/>
  <colors>
    <mruColors>
      <color rgb="FFDDDDDD"/>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Label"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18</xdr:row>
          <xdr:rowOff>0</xdr:rowOff>
        </xdr:from>
        <xdr:to>
          <xdr:col>8</xdr:col>
          <xdr:colOff>12700</xdr:colOff>
          <xdr:row>19</xdr:row>
          <xdr:rowOff>107950</xdr:rowOff>
        </xdr:to>
        <xdr:sp macro="" textlink="">
          <xdr:nvSpPr>
            <xdr:cNvPr id="43027" name="Check Box 19" hidden="1">
              <a:extLst>
                <a:ext uri="{63B3BB69-23CF-44E3-9099-C40C66FF867C}">
                  <a14:compatExt spid="_x0000_s43027"/>
                </a:ext>
                <a:ext uri="{FF2B5EF4-FFF2-40B4-BE49-F238E27FC236}">
                  <a16:creationId xmlns:a16="http://schemas.microsoft.com/office/drawing/2014/main" id="{00000000-0008-0000-0000-00001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20</xdr:row>
          <xdr:rowOff>133350</xdr:rowOff>
        </xdr:from>
        <xdr:to>
          <xdr:col>8</xdr:col>
          <xdr:colOff>12700</xdr:colOff>
          <xdr:row>22</xdr:row>
          <xdr:rowOff>38100</xdr:rowOff>
        </xdr:to>
        <xdr:sp macro="" textlink="">
          <xdr:nvSpPr>
            <xdr:cNvPr id="43028" name="Check Box 20" hidden="1">
              <a:extLst>
                <a:ext uri="{63B3BB69-23CF-44E3-9099-C40C66FF867C}">
                  <a14:compatExt spid="_x0000_s43028"/>
                </a:ext>
                <a:ext uri="{FF2B5EF4-FFF2-40B4-BE49-F238E27FC236}">
                  <a16:creationId xmlns:a16="http://schemas.microsoft.com/office/drawing/2014/main" id="{00000000-0008-0000-0000-00001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133350</xdr:rowOff>
        </xdr:from>
        <xdr:to>
          <xdr:col>8</xdr:col>
          <xdr:colOff>12700</xdr:colOff>
          <xdr:row>25</xdr:row>
          <xdr:rowOff>38100</xdr:rowOff>
        </xdr:to>
        <xdr:sp macro="" textlink="">
          <xdr:nvSpPr>
            <xdr:cNvPr id="43029" name="Check Box 21" hidden="1">
              <a:extLst>
                <a:ext uri="{63B3BB69-23CF-44E3-9099-C40C66FF867C}">
                  <a14:compatExt spid="_x0000_s43029"/>
                </a:ext>
                <a:ext uri="{FF2B5EF4-FFF2-40B4-BE49-F238E27FC236}">
                  <a16:creationId xmlns:a16="http://schemas.microsoft.com/office/drawing/2014/main" id="{00000000-0008-0000-0000-00001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152400</xdr:rowOff>
        </xdr:from>
        <xdr:to>
          <xdr:col>8</xdr:col>
          <xdr:colOff>19050</xdr:colOff>
          <xdr:row>17</xdr:row>
          <xdr:rowOff>57150</xdr:rowOff>
        </xdr:to>
        <xdr:sp macro="" textlink="">
          <xdr:nvSpPr>
            <xdr:cNvPr id="43030" name="Check Box 22" hidden="1">
              <a:extLst>
                <a:ext uri="{63B3BB69-23CF-44E3-9099-C40C66FF867C}">
                  <a14:compatExt spid="_x0000_s43030"/>
                </a:ext>
                <a:ext uri="{FF2B5EF4-FFF2-40B4-BE49-F238E27FC236}">
                  <a16:creationId xmlns:a16="http://schemas.microsoft.com/office/drawing/2014/main" id="{00000000-0008-0000-0000-000016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13</xdr:row>
          <xdr:rowOff>152400</xdr:rowOff>
        </xdr:from>
        <xdr:to>
          <xdr:col>8</xdr:col>
          <xdr:colOff>19050</xdr:colOff>
          <xdr:row>15</xdr:row>
          <xdr:rowOff>57150</xdr:rowOff>
        </xdr:to>
        <xdr:sp macro="" textlink="">
          <xdr:nvSpPr>
            <xdr:cNvPr id="43031" name="Check Box 23" hidden="1">
              <a:extLst>
                <a:ext uri="{63B3BB69-23CF-44E3-9099-C40C66FF867C}">
                  <a14:compatExt spid="_x0000_s43031"/>
                </a:ext>
                <a:ext uri="{FF2B5EF4-FFF2-40B4-BE49-F238E27FC236}">
                  <a16:creationId xmlns:a16="http://schemas.microsoft.com/office/drawing/2014/main" id="{00000000-0008-0000-0000-000017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11</xdr:row>
          <xdr:rowOff>152400</xdr:rowOff>
        </xdr:from>
        <xdr:to>
          <xdr:col>8</xdr:col>
          <xdr:colOff>19050</xdr:colOff>
          <xdr:row>13</xdr:row>
          <xdr:rowOff>57150</xdr:rowOff>
        </xdr:to>
        <xdr:sp macro="" textlink="">
          <xdr:nvSpPr>
            <xdr:cNvPr id="43032" name="Check Box 24" hidden="1">
              <a:extLst>
                <a:ext uri="{63B3BB69-23CF-44E3-9099-C40C66FF867C}">
                  <a14:compatExt spid="_x0000_s43032"/>
                </a:ext>
                <a:ext uri="{FF2B5EF4-FFF2-40B4-BE49-F238E27FC236}">
                  <a16:creationId xmlns:a16="http://schemas.microsoft.com/office/drawing/2014/main" id="{00000000-0008-0000-0000-000018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9</xdr:row>
          <xdr:rowOff>146050</xdr:rowOff>
        </xdr:from>
        <xdr:to>
          <xdr:col>8</xdr:col>
          <xdr:colOff>19050</xdr:colOff>
          <xdr:row>11</xdr:row>
          <xdr:rowOff>50800</xdr:rowOff>
        </xdr:to>
        <xdr:sp macro="" textlink="">
          <xdr:nvSpPr>
            <xdr:cNvPr id="43033" name="Check Box 25" hidden="1">
              <a:extLst>
                <a:ext uri="{63B3BB69-23CF-44E3-9099-C40C66FF867C}">
                  <a14:compatExt spid="_x0000_s43033"/>
                </a:ext>
                <a:ext uri="{FF2B5EF4-FFF2-40B4-BE49-F238E27FC236}">
                  <a16:creationId xmlns:a16="http://schemas.microsoft.com/office/drawing/2014/main" id="{00000000-0008-0000-0000-000019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7</xdr:row>
          <xdr:rowOff>152400</xdr:rowOff>
        </xdr:from>
        <xdr:to>
          <xdr:col>8</xdr:col>
          <xdr:colOff>19050</xdr:colOff>
          <xdr:row>9</xdr:row>
          <xdr:rowOff>57150</xdr:rowOff>
        </xdr:to>
        <xdr:sp macro="" textlink="">
          <xdr:nvSpPr>
            <xdr:cNvPr id="43034" name="Check Box 26" hidden="1">
              <a:extLst>
                <a:ext uri="{63B3BB69-23CF-44E3-9099-C40C66FF867C}">
                  <a14:compatExt spid="_x0000_s43034"/>
                </a:ext>
                <a:ext uri="{FF2B5EF4-FFF2-40B4-BE49-F238E27FC236}">
                  <a16:creationId xmlns:a16="http://schemas.microsoft.com/office/drawing/2014/main" id="{00000000-0008-0000-0000-00001A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5</xdr:row>
          <xdr:rowOff>165100</xdr:rowOff>
        </xdr:from>
        <xdr:to>
          <xdr:col>8</xdr:col>
          <xdr:colOff>12700</xdr:colOff>
          <xdr:row>7</xdr:row>
          <xdr:rowOff>69850</xdr:rowOff>
        </xdr:to>
        <xdr:sp macro="" textlink="">
          <xdr:nvSpPr>
            <xdr:cNvPr id="43035" name="Check Box 27" hidden="1">
              <a:extLst>
                <a:ext uri="{63B3BB69-23CF-44E3-9099-C40C66FF867C}">
                  <a14:compatExt spid="_x0000_s43035"/>
                </a:ext>
                <a:ext uri="{FF2B5EF4-FFF2-40B4-BE49-F238E27FC236}">
                  <a16:creationId xmlns:a16="http://schemas.microsoft.com/office/drawing/2014/main" id="{00000000-0008-0000-0000-00001B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9</xdr:col>
      <xdr:colOff>390086</xdr:colOff>
      <xdr:row>41</xdr:row>
      <xdr:rowOff>59082</xdr:rowOff>
    </xdr:from>
    <xdr:ext cx="6181724" cy="408642"/>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997912" y="11348278"/>
              <a:ext cx="6181724" cy="4086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left"/>
                  </m:oMathParaPr>
                  <m:oMath xmlns:m="http://schemas.openxmlformats.org/officeDocument/2006/math">
                    <m:sSup>
                      <m:sSupPr>
                        <m:ctrlPr>
                          <a:rPr lang="en-SG" sz="800" i="1">
                            <a:latin typeface="Cambria Math" panose="02040503050406030204" pitchFamily="18" charset="0"/>
                          </a:rPr>
                        </m:ctrlPr>
                      </m:sSupPr>
                      <m:e>
                        <m:eqArr>
                          <m:eqArrPr>
                            <m:ctrlPr>
                              <a:rPr lang="en-GB" sz="800" b="0" i="1">
                                <a:latin typeface="Cambria Math" panose="02040503050406030204" pitchFamily="18" charset="0"/>
                              </a:rPr>
                            </m:ctrlPr>
                          </m:eqArrPr>
                          <m:e>
                            <m:r>
                              <a:rPr lang="en-US" sz="800" b="0" i="1">
                                <a:latin typeface="Cambria Math"/>
                              </a:rPr>
                              <m:t>𝑄𝑉𝐶</m:t>
                            </m:r>
                            <m:r>
                              <a:rPr lang="en-US" sz="800" b="0" i="1">
                                <a:latin typeface="Cambria Math"/>
                              </a:rPr>
                              <m:t>/</m:t>
                            </m:r>
                            <m:r>
                              <a:rPr lang="en-US" sz="800" b="0" i="1">
                                <a:latin typeface="Cambria Math"/>
                              </a:rPr>
                              <m:t>𝑅𝑉𝐶</m:t>
                            </m:r>
                            <m:r>
                              <a:rPr lang="en-GB" sz="800" b="0" i="1">
                                <a:latin typeface="Cambria Math"/>
                              </a:rPr>
                              <m:t>=</m:t>
                            </m:r>
                            <m:f>
                              <m:fPr>
                                <m:ctrlPr>
                                  <a:rPr lang="en-GB" sz="800" b="0" i="1">
                                    <a:latin typeface="Cambria Math" panose="02040503050406030204" pitchFamily="18" charset="0"/>
                                  </a:rPr>
                                </m:ctrlPr>
                              </m:fPr>
                              <m:num>
                                <m:r>
                                  <a:rPr lang="en-GB" sz="800" b="0" i="1">
                                    <a:latin typeface="Cambria Math"/>
                                  </a:rPr>
                                  <m:t>𝑉𝑎𝑙𝑢𝑒</m:t>
                                </m:r>
                                <m:r>
                                  <a:rPr lang="en-GB" sz="800" b="0" i="1">
                                    <a:latin typeface="Cambria Math"/>
                                  </a:rPr>
                                  <m:t> </m:t>
                                </m:r>
                                <m:r>
                                  <a:rPr lang="en-GB" sz="800" b="0" i="1">
                                    <a:latin typeface="Cambria Math"/>
                                  </a:rPr>
                                  <m:t>𝑜𝑓</m:t>
                                </m:r>
                                <m:r>
                                  <a:rPr lang="en-GB" sz="800" b="0" i="1">
                                    <a:latin typeface="Cambria Math"/>
                                  </a:rPr>
                                  <m:t> </m:t>
                                </m:r>
                                <m:r>
                                  <a:rPr lang="en-GB" sz="800" b="0" i="1">
                                    <a:latin typeface="Cambria Math"/>
                                  </a:rPr>
                                  <m:t>𝑂𝑟𝑖𝑔𝑖𝑛𝑎𝑡𝑖𝑛𝑔</m:t>
                                </m:r>
                                <m:r>
                                  <a:rPr lang="en-GB" sz="800" b="0" i="1">
                                    <a:latin typeface="Cambria Math"/>
                                  </a:rPr>
                                  <m:t> </m:t>
                                </m:r>
                                <m:r>
                                  <a:rPr lang="en-GB" sz="800" b="0" i="1">
                                    <a:latin typeface="Cambria Math"/>
                                  </a:rPr>
                                  <m:t>𝑀𝑎𝑡𝑒𝑟𝑖𝑎𝑙𝑠</m:t>
                                </m:r>
                                <m:r>
                                  <a:rPr lang="en-GB" sz="800" b="0" i="1">
                                    <a:latin typeface="Cambria Math"/>
                                  </a:rPr>
                                  <m:t>+</m:t>
                                </m:r>
                                <m:r>
                                  <a:rPr lang="en-GB" sz="800" b="0" i="1">
                                    <a:latin typeface="Cambria Math"/>
                                  </a:rPr>
                                  <m:t>𝐷𝑖𝑟𝑒𝑐𝑡</m:t>
                                </m:r>
                                <m:r>
                                  <a:rPr lang="en-GB" sz="800" b="0" i="1">
                                    <a:latin typeface="Cambria Math"/>
                                  </a:rPr>
                                  <m:t> </m:t>
                                </m:r>
                                <m:r>
                                  <a:rPr lang="en-GB" sz="800" b="0" i="1">
                                    <a:latin typeface="Cambria Math"/>
                                  </a:rPr>
                                  <m:t>𝐿𝑎𝑏𝑜𝑢𝑟</m:t>
                                </m:r>
                                <m:r>
                                  <a:rPr lang="en-GB" sz="800" b="0" i="1">
                                    <a:latin typeface="Cambria Math"/>
                                  </a:rPr>
                                  <m:t> &amp; </m:t>
                                </m:r>
                                <m:r>
                                  <a:rPr lang="en-GB" sz="800" b="0" i="1">
                                    <a:latin typeface="Cambria Math"/>
                                  </a:rPr>
                                  <m:t>𝑂𝑣𝑒𝑟h𝑒𝑎𝑑</m:t>
                                </m:r>
                                <m:r>
                                  <a:rPr lang="en-GB" sz="800" b="0" i="1">
                                    <a:latin typeface="Cambria Math"/>
                                  </a:rPr>
                                  <m:t> </m:t>
                                </m:r>
                                <m:r>
                                  <a:rPr lang="en-GB" sz="800" b="0" i="1">
                                    <a:latin typeface="Cambria Math"/>
                                  </a:rPr>
                                  <m:t>𝐶𝑜𝑠𝑡</m:t>
                                </m:r>
                                <m:r>
                                  <a:rPr lang="en-GB" sz="800" b="0" i="1">
                                    <a:latin typeface="Cambria Math"/>
                                  </a:rPr>
                                  <m:t>+</m:t>
                                </m:r>
                                <m:r>
                                  <a:rPr lang="en-GB" sz="800" b="0" i="1">
                                    <a:latin typeface="Cambria Math"/>
                                  </a:rPr>
                                  <m:t>𝑃𝑟𝑜𝑓𝑖𝑡</m:t>
                                </m:r>
                                <m:r>
                                  <a:rPr lang="en-GB" sz="800" b="0" i="1">
                                    <a:solidFill>
                                      <a:srgbClr val="FF0000"/>
                                    </a:solidFill>
                                    <a:latin typeface="Cambria Math"/>
                                  </a:rPr>
                                  <m:t>∗</m:t>
                                </m:r>
                                <m:r>
                                  <a:rPr lang="en-GB" sz="800" b="0" i="1">
                                    <a:latin typeface="Cambria Math"/>
                                  </a:rPr>
                                  <m:t>+</m:t>
                                </m:r>
                                <m:r>
                                  <a:rPr lang="en-GB" sz="800" b="0" i="1">
                                    <a:latin typeface="Cambria Math"/>
                                  </a:rPr>
                                  <m:t>𝑂𝑡h𝑒𝑟</m:t>
                                </m:r>
                                <m:r>
                                  <a:rPr lang="en-GB" sz="800" b="0" i="1">
                                    <a:latin typeface="Cambria Math"/>
                                  </a:rPr>
                                  <m:t> </m:t>
                                </m:r>
                                <m:r>
                                  <a:rPr lang="en-GB" sz="800" b="0" i="1">
                                    <a:latin typeface="Cambria Math"/>
                                  </a:rPr>
                                  <m:t>𝐶𝑜𝑠𝑡</m:t>
                                </m:r>
                                <m:r>
                                  <a:rPr lang="en-GB" sz="800" b="0" i="1">
                                    <a:solidFill>
                                      <a:srgbClr val="FF0000"/>
                                    </a:solidFill>
                                    <a:latin typeface="Cambria Math"/>
                                  </a:rPr>
                                  <m:t>∗</m:t>
                                </m:r>
                              </m:num>
                              <m:den>
                                <m:r>
                                  <a:rPr lang="en-GB" sz="800" b="0" i="1">
                                    <a:latin typeface="Cambria Math"/>
                                  </a:rPr>
                                  <m:t> </m:t>
                                </m:r>
                                <m:r>
                                  <a:rPr lang="en-GB" sz="800" b="0" i="1">
                                    <a:latin typeface="Cambria Math"/>
                                  </a:rPr>
                                  <m:t>𝑉𝑎𝑙𝑢𝑒</m:t>
                                </m:r>
                                <m:r>
                                  <a:rPr lang="en-GB" sz="800" b="0" i="1">
                                    <a:latin typeface="Cambria Math"/>
                                  </a:rPr>
                                  <m:t> </m:t>
                                </m:r>
                                <m:r>
                                  <a:rPr lang="en-GB" sz="800" b="0" i="1">
                                    <a:latin typeface="Cambria Math"/>
                                  </a:rPr>
                                  <m:t>𝑜𝑓</m:t>
                                </m:r>
                                <m:r>
                                  <a:rPr lang="en-GB" sz="800" b="0" i="1">
                                    <a:latin typeface="Cambria Math"/>
                                  </a:rPr>
                                  <m:t> </m:t>
                                </m:r>
                                <m:r>
                                  <a:rPr lang="en-GB" sz="800" b="0" i="1">
                                    <a:latin typeface="Cambria Math"/>
                                  </a:rPr>
                                  <m:t>𝐺𝑜𝑜𝑑</m:t>
                                </m:r>
                              </m:den>
                            </m:f>
                            <m:r>
                              <a:rPr lang="en-GB" sz="800" b="0" i="1">
                                <a:latin typeface="Cambria Math"/>
                              </a:rPr>
                              <m:t> </m:t>
                            </m:r>
                            <m:r>
                              <a:rPr lang="en-GB" sz="800" b="0" i="1">
                                <a:latin typeface="Cambria Math"/>
                              </a:rPr>
                              <m:t>𝑥</m:t>
                            </m:r>
                            <m:r>
                              <a:rPr lang="en-GB" sz="800" b="0" i="1">
                                <a:latin typeface="Cambria Math"/>
                              </a:rPr>
                              <m:t> 100% </m:t>
                            </m:r>
                          </m:e>
                          <m:e>
                            <m:r>
                              <a:rPr lang="en-GB" sz="800" b="0" i="1">
                                <a:latin typeface="Cambria Math"/>
                              </a:rPr>
                              <m:t> </m:t>
                            </m:r>
                          </m:e>
                          <m:e>
                            <m:r>
                              <a:rPr lang="en-GB" sz="800" b="0" i="1">
                                <a:latin typeface="Cambria Math"/>
                              </a:rPr>
                              <m:t> </m:t>
                            </m:r>
                          </m:e>
                        </m:eqArr>
                      </m:e>
                      <m:sup/>
                    </m:sSup>
                  </m:oMath>
                </m:oMathPara>
              </a14:m>
              <a:endParaRPr lang="en-SG" sz="800"/>
            </a:p>
          </xdr:txBody>
        </xdr:sp>
      </mc:Choice>
      <mc:Fallback xmlns="">
        <xdr:sp macro="" textlink="">
          <xdr:nvSpPr>
            <xdr:cNvPr id="8" name="TextBox 7"/>
            <xdr:cNvSpPr txBox="1"/>
          </xdr:nvSpPr>
          <xdr:spPr>
            <a:xfrm>
              <a:off x="9997912" y="11348278"/>
              <a:ext cx="6181724" cy="4086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GB" sz="800" b="0" i="0">
                  <a:latin typeface="Cambria Math" panose="02040503050406030204" pitchFamily="18" charset="0"/>
                </a:rPr>
                <a:t>█(</a:t>
              </a:r>
              <a:r>
                <a:rPr lang="en-US" sz="800" b="0" i="0">
                  <a:latin typeface="Cambria Math"/>
                </a:rPr>
                <a:t>𝑄𝑉𝐶/𝑅𝑉𝐶</a:t>
              </a:r>
              <a:r>
                <a:rPr lang="en-GB" sz="800" b="0" i="0">
                  <a:latin typeface="Cambria Math"/>
                </a:rPr>
                <a:t>=</a:t>
              </a:r>
              <a:r>
                <a:rPr lang="en-GB" sz="800" b="0" i="0">
                  <a:latin typeface="Cambria Math" panose="02040503050406030204" pitchFamily="18" charset="0"/>
                </a:rPr>
                <a:t>(</a:t>
              </a:r>
              <a:r>
                <a:rPr lang="en-GB" sz="800" b="0" i="0">
                  <a:latin typeface="Cambria Math"/>
                </a:rPr>
                <a:t>𝑉𝑎𝑙𝑢𝑒 𝑜𝑓 𝑂𝑟𝑖𝑔𝑖𝑛𝑎𝑡𝑖𝑛𝑔 𝑀𝑎𝑡𝑒𝑟𝑖𝑎𝑙𝑠+𝐷𝑖𝑟𝑒𝑐𝑡 𝐿𝑎𝑏𝑜𝑢𝑟 &amp; 𝑂𝑣𝑒𝑟ℎ𝑒𝑎𝑑 𝐶𝑜𝑠𝑡+𝑃𝑟𝑜𝑓𝑖𝑡</a:t>
              </a:r>
              <a:r>
                <a:rPr lang="en-GB" sz="800" b="0" i="0">
                  <a:solidFill>
                    <a:srgbClr val="FF0000"/>
                  </a:solidFill>
                  <a:latin typeface="Cambria Math"/>
                </a:rPr>
                <a:t>∗</a:t>
              </a:r>
              <a:r>
                <a:rPr lang="en-GB" sz="800" b="0" i="0">
                  <a:latin typeface="Cambria Math"/>
                </a:rPr>
                <a:t>+𝑂𝑡ℎ𝑒𝑟 𝐶𝑜𝑠𝑡</a:t>
              </a:r>
              <a:r>
                <a:rPr lang="en-GB" sz="800" b="0" i="0">
                  <a:solidFill>
                    <a:srgbClr val="FF0000"/>
                  </a:solidFill>
                  <a:latin typeface="Cambria Math"/>
                </a:rPr>
                <a:t>∗</a:t>
              </a:r>
              <a:r>
                <a:rPr lang="en-GB" sz="800" b="0" i="0">
                  <a:solidFill>
                    <a:srgbClr val="FF0000"/>
                  </a:solidFill>
                  <a:latin typeface="Cambria Math" panose="02040503050406030204" pitchFamily="18" charset="0"/>
                </a:rPr>
                <a:t>)/(</a:t>
              </a:r>
              <a:r>
                <a:rPr lang="en-GB" sz="800" b="0" i="0">
                  <a:latin typeface="Cambria Math"/>
                </a:rPr>
                <a:t> 𝑉𝑎𝑙𝑢𝑒 𝑜𝑓 𝐺𝑜𝑜𝑑</a:t>
              </a:r>
              <a:r>
                <a:rPr lang="en-GB" sz="800" b="0" i="0">
                  <a:latin typeface="Cambria Math" panose="02040503050406030204" pitchFamily="18" charset="0"/>
                </a:rPr>
                <a:t>)</a:t>
              </a:r>
              <a:r>
                <a:rPr lang="en-GB" sz="800" b="0" i="0">
                  <a:latin typeface="Cambria Math"/>
                </a:rPr>
                <a:t>  𝑥 100%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SG" sz="800" b="0" i="0">
                  <a:latin typeface="Cambria Math" panose="02040503050406030204" pitchFamily="18" charset="0"/>
                </a:rPr>
                <a:t>^</a:t>
              </a:r>
              <a:endParaRPr lang="en-SG" sz="800"/>
            </a:p>
          </xdr:txBody>
        </xdr:sp>
      </mc:Fallback>
    </mc:AlternateContent>
    <xdr:clientData/>
  </xdr:oneCellAnchor>
  <xdr:oneCellAnchor>
    <xdr:from>
      <xdr:col>10</xdr:col>
      <xdr:colOff>0</xdr:colOff>
      <xdr:row>44</xdr:row>
      <xdr:rowOff>0</xdr:rowOff>
    </xdr:from>
    <xdr:ext cx="5381625" cy="53623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9715500" y="9191625"/>
              <a:ext cx="5381625" cy="5362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p>
                      <m:sSupPr>
                        <m:ctrlPr>
                          <a:rPr lang="en-SG" sz="800" i="1">
                            <a:latin typeface="Cambria Math" panose="02040503050406030204" pitchFamily="18" charset="0"/>
                          </a:rPr>
                        </m:ctrlPr>
                      </m:sSupPr>
                      <m:e>
                        <m:eqArr>
                          <m:eqArrPr>
                            <m:ctrlPr>
                              <a:rPr lang="en-GB" sz="800" b="0" i="1">
                                <a:latin typeface="Cambria Math" panose="02040503050406030204" pitchFamily="18" charset="0"/>
                              </a:rPr>
                            </m:ctrlPr>
                          </m:eqArrPr>
                          <m:e>
                            <m:r>
                              <a:rPr lang="en-US" sz="800" b="0" i="1">
                                <a:latin typeface="Cambria Math"/>
                              </a:rPr>
                              <m:t>𝑄𝑉𝐶</m:t>
                            </m:r>
                            <m:r>
                              <a:rPr lang="en-US" sz="800" b="0" i="1">
                                <a:latin typeface="Cambria Math"/>
                              </a:rPr>
                              <m:t>/</m:t>
                            </m:r>
                            <m:r>
                              <a:rPr lang="en-US" sz="800" b="0" i="1">
                                <a:latin typeface="Cambria Math"/>
                              </a:rPr>
                              <m:t>𝑅𝑉𝐶</m:t>
                            </m:r>
                            <m:r>
                              <a:rPr lang="en-GB" sz="800" b="0" i="1">
                                <a:latin typeface="Cambria Math"/>
                              </a:rPr>
                              <m:t>=</m:t>
                            </m:r>
                            <m:f>
                              <m:fPr>
                                <m:ctrlPr>
                                  <a:rPr lang="en-GB" sz="800" b="0" i="1">
                                    <a:latin typeface="Cambria Math" panose="02040503050406030204" pitchFamily="18" charset="0"/>
                                  </a:rPr>
                                </m:ctrlPr>
                              </m:fPr>
                              <m:num>
                                <m:r>
                                  <a:rPr lang="en-GB" sz="800" b="0" i="1">
                                    <a:latin typeface="Cambria Math"/>
                                  </a:rPr>
                                  <m:t>𝑉𝑎𝑙𝑢𝑒</m:t>
                                </m:r>
                                <m:r>
                                  <a:rPr lang="en-GB" sz="800" b="0" i="1">
                                    <a:latin typeface="Cambria Math"/>
                                  </a:rPr>
                                  <m:t> </m:t>
                                </m:r>
                                <m:r>
                                  <a:rPr lang="en-GB" sz="800" b="0" i="1">
                                    <a:latin typeface="Cambria Math"/>
                                  </a:rPr>
                                  <m:t>𝑜𝑓</m:t>
                                </m:r>
                                <m:r>
                                  <a:rPr lang="en-GB" sz="800" b="0" i="1">
                                    <a:latin typeface="Cambria Math"/>
                                  </a:rPr>
                                  <m:t> </m:t>
                                </m:r>
                                <m:r>
                                  <a:rPr lang="en-GB" sz="800" b="0" i="1">
                                    <a:latin typeface="Cambria Math"/>
                                  </a:rPr>
                                  <m:t>𝐺𝑜𝑜𝑑</m:t>
                                </m:r>
                                <m:r>
                                  <a:rPr lang="en-GB" sz="800" b="0" i="1">
                                    <a:latin typeface="Cambria Math"/>
                                  </a:rPr>
                                  <m:t>        −     </m:t>
                                </m:r>
                                <m:r>
                                  <a:rPr lang="en-US" sz="800" b="0" i="1">
                                    <a:latin typeface="Cambria Math"/>
                                  </a:rPr>
                                  <m:t>𝑉𝑎𝑙𝑢𝑒</m:t>
                                </m:r>
                                <m:r>
                                  <a:rPr lang="en-US" sz="800" b="0" i="1">
                                    <a:latin typeface="Cambria Math"/>
                                  </a:rPr>
                                  <m:t> </m:t>
                                </m:r>
                                <m:r>
                                  <a:rPr lang="en-US" sz="800" b="0" i="1">
                                    <a:latin typeface="Cambria Math"/>
                                  </a:rPr>
                                  <m:t>𝑜𝑓</m:t>
                                </m:r>
                                <m:r>
                                  <a:rPr lang="en-US" sz="800" b="0" i="1">
                                    <a:latin typeface="Cambria Math"/>
                                  </a:rPr>
                                  <m:t> </m:t>
                                </m:r>
                                <m:r>
                                  <a:rPr lang="en-GB" sz="800" b="0" i="1">
                                    <a:latin typeface="Cambria Math"/>
                                  </a:rPr>
                                  <m:t>𝑁𝑜𝑛</m:t>
                                </m:r>
                                <m:r>
                                  <a:rPr lang="en-US" sz="800" b="0" i="1">
                                    <a:latin typeface="Cambria Math"/>
                                  </a:rPr>
                                  <m:t>−</m:t>
                                </m:r>
                                <m:r>
                                  <a:rPr lang="en-GB" sz="800" b="0" i="1">
                                    <a:latin typeface="Cambria Math"/>
                                  </a:rPr>
                                  <m:t>𝑂𝑟𝑖𝑔𝑖𝑛𝑎𝑡𝑖𝑛𝑔</m:t>
                                </m:r>
                                <m:r>
                                  <a:rPr lang="en-GB" sz="800" b="0" i="1">
                                    <a:latin typeface="Cambria Math"/>
                                  </a:rPr>
                                  <m:t> </m:t>
                                </m:r>
                                <m:r>
                                  <a:rPr lang="en-GB" sz="800" b="0" i="1">
                                    <a:latin typeface="Cambria Math"/>
                                  </a:rPr>
                                  <m:t>𝑀𝑎𝑡𝑒𝑟𝑖𝑎𝑙𝑠</m:t>
                                </m:r>
                              </m:num>
                              <m:den>
                                <m:r>
                                  <a:rPr lang="en-GB" sz="800" b="0" i="1">
                                    <a:latin typeface="Cambria Math"/>
                                  </a:rPr>
                                  <m:t>𝑉𝑎𝑙𝑢𝑒</m:t>
                                </m:r>
                                <m:r>
                                  <a:rPr lang="en-GB" sz="800" b="0" i="1">
                                    <a:latin typeface="Cambria Math"/>
                                  </a:rPr>
                                  <m:t> </m:t>
                                </m:r>
                                <m:r>
                                  <a:rPr lang="en-GB" sz="800" b="0" i="1">
                                    <a:latin typeface="Cambria Math"/>
                                  </a:rPr>
                                  <m:t>𝑜𝑓</m:t>
                                </m:r>
                                <m:r>
                                  <a:rPr lang="en-GB" sz="800" b="0" i="1">
                                    <a:latin typeface="Cambria Math"/>
                                  </a:rPr>
                                  <m:t> </m:t>
                                </m:r>
                                <m:r>
                                  <a:rPr lang="en-GB" sz="800" b="0" i="1">
                                    <a:latin typeface="Cambria Math"/>
                                  </a:rPr>
                                  <m:t>𝐺𝑜𝑜𝑑</m:t>
                                </m:r>
                              </m:den>
                            </m:f>
                            <m:r>
                              <a:rPr lang="en-GB" sz="800" b="0" i="1">
                                <a:latin typeface="Cambria Math"/>
                              </a:rPr>
                              <m:t> </m:t>
                            </m:r>
                            <m:r>
                              <a:rPr lang="en-GB" sz="800" b="0" i="1">
                                <a:latin typeface="Cambria Math"/>
                              </a:rPr>
                              <m:t>𝑥</m:t>
                            </m:r>
                            <m:r>
                              <a:rPr lang="en-GB" sz="800" b="0" i="1">
                                <a:latin typeface="Cambria Math"/>
                              </a:rPr>
                              <m:t> 100% </m:t>
                            </m:r>
                          </m:e>
                          <m:e>
                            <m:r>
                              <a:rPr lang="en-GB" sz="800" b="0" i="1">
                                <a:latin typeface="Cambria Math"/>
                              </a:rPr>
                              <m:t> </m:t>
                            </m:r>
                          </m:e>
                          <m:e>
                            <m:r>
                              <a:rPr lang="en-GB" sz="800" b="0" i="1">
                                <a:latin typeface="Cambria Math"/>
                              </a:rPr>
                              <m:t> </m:t>
                            </m:r>
                          </m:e>
                        </m:eqArr>
                      </m:e>
                      <m:sup/>
                    </m:sSup>
                  </m:oMath>
                </m:oMathPara>
              </a14:m>
              <a:endParaRPr lang="en-SG" sz="800"/>
            </a:p>
          </xdr:txBody>
        </xdr:sp>
      </mc:Choice>
      <mc:Fallback xmlns="">
        <xdr:sp macro="" textlink="">
          <xdr:nvSpPr>
            <xdr:cNvPr id="9" name="TextBox 8"/>
            <xdr:cNvSpPr txBox="1"/>
          </xdr:nvSpPr>
          <xdr:spPr>
            <a:xfrm>
              <a:off x="9715500" y="9191625"/>
              <a:ext cx="5381625" cy="5362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800" b="0" i="0">
                  <a:latin typeface="Cambria Math" panose="02040503050406030204" pitchFamily="18" charset="0"/>
                </a:rPr>
                <a:t>█(</a:t>
              </a:r>
              <a:r>
                <a:rPr lang="en-US" sz="800" b="0" i="0">
                  <a:latin typeface="Cambria Math"/>
                </a:rPr>
                <a:t>𝑄𝑉𝐶/𝑅𝑉𝐶</a:t>
              </a:r>
              <a:r>
                <a:rPr lang="en-GB" sz="800" b="0" i="0">
                  <a:latin typeface="Cambria Math"/>
                </a:rPr>
                <a:t>=</a:t>
              </a:r>
              <a:r>
                <a:rPr lang="en-GB" sz="800" b="0" i="0">
                  <a:latin typeface="Cambria Math" panose="02040503050406030204" pitchFamily="18" charset="0"/>
                </a:rPr>
                <a:t>(</a:t>
              </a:r>
              <a:r>
                <a:rPr lang="en-GB" sz="800" b="0" i="0">
                  <a:latin typeface="Cambria Math"/>
                </a:rPr>
                <a:t>𝑉𝑎𝑙𝑢𝑒 𝑜𝑓 𝐺𝑜𝑜𝑑        −     </a:t>
              </a:r>
              <a:r>
                <a:rPr lang="en-US" sz="800" b="0" i="0">
                  <a:latin typeface="Cambria Math"/>
                </a:rPr>
                <a:t>𝑉𝑎𝑙𝑢𝑒 𝑜𝑓 </a:t>
              </a:r>
              <a:r>
                <a:rPr lang="en-GB" sz="800" b="0" i="0">
                  <a:latin typeface="Cambria Math"/>
                </a:rPr>
                <a:t>𝑁𝑜𝑛</a:t>
              </a:r>
              <a:r>
                <a:rPr lang="en-US" sz="800" b="0" i="0">
                  <a:latin typeface="Cambria Math"/>
                </a:rPr>
                <a:t>−</a:t>
              </a:r>
              <a:r>
                <a:rPr lang="en-GB" sz="800" b="0" i="0">
                  <a:latin typeface="Cambria Math"/>
                </a:rPr>
                <a:t>𝑂𝑟𝑖𝑔𝑖𝑛𝑎𝑡𝑖𝑛𝑔 𝑀𝑎𝑡𝑒𝑟𝑖𝑎𝑙𝑠</a:t>
              </a:r>
              <a:r>
                <a:rPr lang="en-GB" sz="800" b="0" i="0">
                  <a:latin typeface="Cambria Math" panose="02040503050406030204" pitchFamily="18" charset="0"/>
                </a:rPr>
                <a:t>)/(</a:t>
              </a:r>
              <a:r>
                <a:rPr lang="en-GB" sz="800" b="0" i="0">
                  <a:latin typeface="Cambria Math"/>
                </a:rPr>
                <a:t>𝑉𝑎𝑙𝑢𝑒 𝑜𝑓 𝐺𝑜𝑜𝑑</a:t>
              </a:r>
              <a:r>
                <a:rPr lang="en-GB" sz="800" b="0" i="0">
                  <a:latin typeface="Cambria Math" panose="02040503050406030204" pitchFamily="18" charset="0"/>
                </a:rPr>
                <a:t>)</a:t>
              </a:r>
              <a:r>
                <a:rPr lang="en-GB" sz="800" b="0" i="0">
                  <a:latin typeface="Cambria Math"/>
                </a:rPr>
                <a:t>  𝑥 100%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SG" sz="800" b="0" i="0">
                  <a:latin typeface="Cambria Math" panose="02040503050406030204" pitchFamily="18" charset="0"/>
                </a:rPr>
                <a:t>^</a:t>
              </a:r>
              <a:endParaRPr lang="en-SG" sz="800"/>
            </a:p>
          </xdr:txBody>
        </xdr:sp>
      </mc:Fallback>
    </mc:AlternateContent>
    <xdr:clientData/>
  </xdr:oneCellAnchor>
  <xdr:oneCellAnchor>
    <xdr:from>
      <xdr:col>10</xdr:col>
      <xdr:colOff>56029</xdr:colOff>
      <xdr:row>47</xdr:row>
      <xdr:rowOff>22411</xdr:rowOff>
    </xdr:from>
    <xdr:ext cx="5381625" cy="532838"/>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0219764" y="11923058"/>
              <a:ext cx="5381625" cy="532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p>
                      <m:sSupPr>
                        <m:ctrlPr>
                          <a:rPr lang="en-SG" sz="800" i="1">
                            <a:latin typeface="Cambria Math" panose="02040503050406030204" pitchFamily="18" charset="0"/>
                          </a:rPr>
                        </m:ctrlPr>
                      </m:sSupPr>
                      <m:e>
                        <m:eqArr>
                          <m:eqArrPr>
                            <m:ctrlPr>
                              <a:rPr lang="en-GB" sz="800" b="0" i="1">
                                <a:latin typeface="Cambria Math" panose="02040503050406030204" pitchFamily="18" charset="0"/>
                              </a:rPr>
                            </m:ctrlPr>
                          </m:eqArrPr>
                          <m:e>
                            <m:r>
                              <a:rPr lang="en-US" sz="800" b="0" i="1">
                                <a:latin typeface="Cambria Math"/>
                              </a:rPr>
                              <m:t>𝑄𝑉𝐶</m:t>
                            </m:r>
                            <m:r>
                              <a:rPr lang="en-US" sz="800" b="0" i="1">
                                <a:latin typeface="Cambria Math"/>
                              </a:rPr>
                              <m:t>/</m:t>
                            </m:r>
                            <m:r>
                              <a:rPr lang="en-US" sz="800" b="0" i="1">
                                <a:latin typeface="Cambria Math"/>
                              </a:rPr>
                              <m:t>𝑅𝑉𝐶</m:t>
                            </m:r>
                            <m:r>
                              <a:rPr lang="en-GB" sz="800" b="0" i="1">
                                <a:latin typeface="Cambria Math"/>
                              </a:rPr>
                              <m:t>=</m:t>
                            </m:r>
                            <m:f>
                              <m:fPr>
                                <m:ctrlPr>
                                  <a:rPr lang="en-GB" sz="800" b="0" i="1">
                                    <a:latin typeface="Cambria Math" panose="02040503050406030204" pitchFamily="18" charset="0"/>
                                  </a:rPr>
                                </m:ctrlPr>
                              </m:fPr>
                              <m:num>
                                <m:r>
                                  <a:rPr lang="en-US" sz="800" b="0" i="1">
                                    <a:latin typeface="Cambria Math"/>
                                  </a:rPr>
                                  <m:t>𝑉𝑎𝑙𝑢𝑒</m:t>
                                </m:r>
                                <m:r>
                                  <a:rPr lang="en-US" sz="800" b="0" i="1">
                                    <a:latin typeface="Cambria Math"/>
                                  </a:rPr>
                                  <m:t> </m:t>
                                </m:r>
                                <m:r>
                                  <a:rPr lang="en-US" sz="800" b="0" i="1">
                                    <a:latin typeface="Cambria Math"/>
                                  </a:rPr>
                                  <m:t>𝑜𝑓</m:t>
                                </m:r>
                                <m:r>
                                  <a:rPr lang="en-US" sz="800" b="0" i="1">
                                    <a:latin typeface="Cambria Math"/>
                                  </a:rPr>
                                  <m:t> </m:t>
                                </m:r>
                                <m:r>
                                  <a:rPr lang="en-GB" sz="800" b="0" i="1">
                                    <a:latin typeface="Cambria Math"/>
                                  </a:rPr>
                                  <m:t>𝑁𝑜𝑛</m:t>
                                </m:r>
                                <m:r>
                                  <a:rPr lang="en-GB" sz="800" b="0" i="1">
                                    <a:latin typeface="Cambria Math"/>
                                  </a:rPr>
                                  <m:t>−</m:t>
                                </m:r>
                                <m:r>
                                  <a:rPr lang="en-GB" sz="800" b="0" i="1">
                                    <a:latin typeface="Cambria Math"/>
                                  </a:rPr>
                                  <m:t>𝑂𝑟𝑖𝑔𝑖𝑛𝑎𝑡𝑖𝑛𝑔</m:t>
                                </m:r>
                                <m:r>
                                  <a:rPr lang="en-GB" sz="800" b="0" i="1">
                                    <a:latin typeface="Cambria Math"/>
                                  </a:rPr>
                                  <m:t> </m:t>
                                </m:r>
                                <m:r>
                                  <a:rPr lang="en-GB" sz="800" b="0" i="1">
                                    <a:latin typeface="Cambria Math"/>
                                  </a:rPr>
                                  <m:t>𝑀𝑎𝑡𝑒𝑟𝑖𝑎𝑙𝑠</m:t>
                                </m:r>
                              </m:num>
                              <m:den>
                                <m:r>
                                  <a:rPr lang="en-GB" sz="800" b="0" i="1">
                                    <a:latin typeface="Cambria Math"/>
                                  </a:rPr>
                                  <m:t>𝑉𝑎𝑙𝑢𝑒</m:t>
                                </m:r>
                                <m:r>
                                  <a:rPr lang="en-GB" sz="800" b="0" i="1">
                                    <a:latin typeface="Cambria Math"/>
                                  </a:rPr>
                                  <m:t> </m:t>
                                </m:r>
                                <m:r>
                                  <a:rPr lang="en-GB" sz="800" b="0" i="1">
                                    <a:latin typeface="Cambria Math"/>
                                  </a:rPr>
                                  <m:t>𝑜𝑓</m:t>
                                </m:r>
                                <m:r>
                                  <a:rPr lang="en-GB" sz="800" b="0" i="1">
                                    <a:latin typeface="Cambria Math"/>
                                  </a:rPr>
                                  <m:t> </m:t>
                                </m:r>
                                <m:r>
                                  <a:rPr lang="en-GB" sz="800" b="0" i="1">
                                    <a:latin typeface="Cambria Math"/>
                                  </a:rPr>
                                  <m:t>𝐺𝑜𝑜𝑑</m:t>
                                </m:r>
                              </m:den>
                            </m:f>
                            <m:r>
                              <a:rPr lang="en-GB" sz="800" b="0" i="1">
                                <a:latin typeface="Cambria Math"/>
                              </a:rPr>
                              <m:t> </m:t>
                            </m:r>
                            <m:r>
                              <a:rPr lang="en-GB" sz="800" b="0" i="1">
                                <a:latin typeface="Cambria Math"/>
                              </a:rPr>
                              <m:t>𝑥</m:t>
                            </m:r>
                            <m:r>
                              <a:rPr lang="en-GB" sz="800" b="0" i="1">
                                <a:latin typeface="Cambria Math"/>
                              </a:rPr>
                              <m:t> 100% </m:t>
                            </m:r>
                          </m:e>
                          <m:e>
                            <m:r>
                              <a:rPr lang="en-GB" sz="800" b="0" i="1">
                                <a:latin typeface="Cambria Math"/>
                              </a:rPr>
                              <m:t> </m:t>
                            </m:r>
                          </m:e>
                          <m:e>
                            <m:r>
                              <a:rPr lang="en-GB" sz="800" b="0" i="1">
                                <a:latin typeface="Cambria Math"/>
                              </a:rPr>
                              <m:t> </m:t>
                            </m:r>
                          </m:e>
                        </m:eqArr>
                      </m:e>
                      <m:sup/>
                    </m:sSup>
                  </m:oMath>
                </m:oMathPara>
              </a14:m>
              <a:endParaRPr lang="en-SG" sz="800"/>
            </a:p>
          </xdr:txBody>
        </xdr:sp>
      </mc:Choice>
      <mc:Fallback xmlns="">
        <xdr:sp macro="" textlink="">
          <xdr:nvSpPr>
            <xdr:cNvPr id="10" name="TextBox 9"/>
            <xdr:cNvSpPr txBox="1"/>
          </xdr:nvSpPr>
          <xdr:spPr>
            <a:xfrm>
              <a:off x="10219764" y="11923058"/>
              <a:ext cx="5381625" cy="532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800" b="0" i="0">
                  <a:latin typeface="Cambria Math" panose="02040503050406030204" pitchFamily="18" charset="0"/>
                </a:rPr>
                <a:t>█(</a:t>
              </a:r>
              <a:r>
                <a:rPr lang="en-US" sz="800" b="0" i="0">
                  <a:latin typeface="Cambria Math"/>
                </a:rPr>
                <a:t>𝑄𝑉𝐶/𝑅𝑉𝐶</a:t>
              </a:r>
              <a:r>
                <a:rPr lang="en-GB" sz="800" b="0" i="0">
                  <a:latin typeface="Cambria Math"/>
                </a:rPr>
                <a:t>=</a:t>
              </a:r>
              <a:r>
                <a:rPr lang="en-GB" sz="800" b="0" i="0">
                  <a:latin typeface="Cambria Math" panose="02040503050406030204" pitchFamily="18" charset="0"/>
                </a:rPr>
                <a:t>(</a:t>
              </a:r>
              <a:r>
                <a:rPr lang="en-US" sz="800" b="0" i="0">
                  <a:latin typeface="Cambria Math"/>
                </a:rPr>
                <a:t>𝑉𝑎𝑙𝑢𝑒 𝑜𝑓 </a:t>
              </a:r>
              <a:r>
                <a:rPr lang="en-GB" sz="800" b="0" i="0">
                  <a:latin typeface="Cambria Math"/>
                </a:rPr>
                <a:t>𝑁𝑜𝑛−𝑂𝑟𝑖𝑔𝑖𝑛𝑎𝑡𝑖𝑛𝑔 𝑀𝑎𝑡𝑒𝑟𝑖𝑎𝑙𝑠</a:t>
              </a:r>
              <a:r>
                <a:rPr lang="en-GB" sz="800" b="0" i="0">
                  <a:latin typeface="Cambria Math" panose="02040503050406030204" pitchFamily="18" charset="0"/>
                </a:rPr>
                <a:t>)/(</a:t>
              </a:r>
              <a:r>
                <a:rPr lang="en-GB" sz="800" b="0" i="0">
                  <a:latin typeface="Cambria Math"/>
                </a:rPr>
                <a:t>𝑉𝑎𝑙𝑢𝑒 𝑜𝑓 𝐺𝑜𝑜𝑑</a:t>
              </a:r>
              <a:r>
                <a:rPr lang="en-GB" sz="800" b="0" i="0">
                  <a:latin typeface="Cambria Math" panose="02040503050406030204" pitchFamily="18" charset="0"/>
                </a:rPr>
                <a:t>)</a:t>
              </a:r>
              <a:r>
                <a:rPr lang="en-GB" sz="800" b="0" i="0">
                  <a:latin typeface="Cambria Math"/>
                </a:rPr>
                <a:t>  𝑥 100%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GB" sz="800" b="0" i="0">
                  <a:latin typeface="Cambria Math"/>
                </a:rPr>
                <a:t> </a:t>
              </a:r>
              <a:r>
                <a:rPr lang="en-GB" sz="800" b="0" i="0">
                  <a:latin typeface="Cambria Math" panose="02040503050406030204" pitchFamily="18" charset="0"/>
                </a:rPr>
                <a:t>)</a:t>
              </a:r>
              <a:r>
                <a:rPr lang="en-SG" sz="800" b="0" i="0">
                  <a:latin typeface="Cambria Math" panose="02040503050406030204" pitchFamily="18" charset="0"/>
                </a:rPr>
                <a:t>^</a:t>
              </a:r>
              <a:endParaRPr lang="en-SG" sz="800"/>
            </a:p>
          </xdr:txBody>
        </xdr:sp>
      </mc:Fallback>
    </mc:AlternateContent>
    <xdr:clientData/>
  </xdr:oneCellAnchor>
  <xdr:twoCellAnchor editAs="oneCell">
    <xdr:from>
      <xdr:col>3</xdr:col>
      <xdr:colOff>104775</xdr:colOff>
      <xdr:row>19</xdr:row>
      <xdr:rowOff>0</xdr:rowOff>
    </xdr:from>
    <xdr:to>
      <xdr:col>6</xdr:col>
      <xdr:colOff>718469</xdr:colOff>
      <xdr:row>20</xdr:row>
      <xdr:rowOff>35372</xdr:rowOff>
    </xdr:to>
    <xdr:sp macro="" textlink="">
      <xdr:nvSpPr>
        <xdr:cNvPr id="5" name="CheckBox1" hidden="1">
          <a:extLst>
            <a:ext uri="{63B3BB69-23CF-44E3-9099-C40C66FF867C}">
              <a14:compatExt xmlns:a14="http://schemas.microsoft.com/office/drawing/2010/main" spid="_x0000_s1125"/>
            </a:ext>
            <a:ext uri="{FF2B5EF4-FFF2-40B4-BE49-F238E27FC236}">
              <a16:creationId xmlns:a16="http://schemas.microsoft.com/office/drawing/2014/main" id="{00000000-0008-0000-0200-000005000000}"/>
            </a:ext>
          </a:extLst>
        </xdr:cNvPr>
        <xdr:cNvSpPr/>
      </xdr:nvSpPr>
      <xdr:spPr bwMode="auto">
        <a:xfrm>
          <a:off x="361950" y="6629400"/>
          <a:ext cx="5591175" cy="2857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104775</xdr:colOff>
      <xdr:row>19</xdr:row>
      <xdr:rowOff>0</xdr:rowOff>
    </xdr:from>
    <xdr:to>
      <xdr:col>6</xdr:col>
      <xdr:colOff>756569</xdr:colOff>
      <xdr:row>20</xdr:row>
      <xdr:rowOff>21246</xdr:rowOff>
    </xdr:to>
    <xdr:sp macro="" textlink="">
      <xdr:nvSpPr>
        <xdr:cNvPr id="6" name="CheckBox2" hidden="1">
          <a:extLst>
            <a:ext uri="{63B3BB69-23CF-44E3-9099-C40C66FF867C}">
              <a14:compatExt xmlns:a14="http://schemas.microsoft.com/office/drawing/2010/main" spid="_x0000_s1127"/>
            </a:ext>
            <a:ext uri="{FF2B5EF4-FFF2-40B4-BE49-F238E27FC236}">
              <a16:creationId xmlns:a16="http://schemas.microsoft.com/office/drawing/2014/main" id="{00000000-0008-0000-0200-000006000000}"/>
            </a:ext>
          </a:extLst>
        </xdr:cNvPr>
        <xdr:cNvSpPr/>
      </xdr:nvSpPr>
      <xdr:spPr bwMode="auto">
        <a:xfrm>
          <a:off x="361950" y="6943725"/>
          <a:ext cx="5629275" cy="266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104775</xdr:colOff>
      <xdr:row>19</xdr:row>
      <xdr:rowOff>0</xdr:rowOff>
    </xdr:from>
    <xdr:to>
      <xdr:col>6</xdr:col>
      <xdr:colOff>547019</xdr:colOff>
      <xdr:row>20</xdr:row>
      <xdr:rowOff>7522</xdr:rowOff>
    </xdr:to>
    <xdr:sp macro="" textlink="">
      <xdr:nvSpPr>
        <xdr:cNvPr id="7" name="CheckBox3" hidden="1">
          <a:extLst>
            <a:ext uri="{63B3BB69-23CF-44E3-9099-C40C66FF867C}">
              <a14:compatExt xmlns:a14="http://schemas.microsoft.com/office/drawing/2010/main" spid="_x0000_s1129"/>
            </a:ext>
            <a:ext uri="{FF2B5EF4-FFF2-40B4-BE49-F238E27FC236}">
              <a16:creationId xmlns:a16="http://schemas.microsoft.com/office/drawing/2014/main" id="{00000000-0008-0000-0200-000007000000}"/>
            </a:ext>
          </a:extLst>
        </xdr:cNvPr>
        <xdr:cNvSpPr/>
      </xdr:nvSpPr>
      <xdr:spPr bwMode="auto">
        <a:xfrm>
          <a:off x="361950" y="7248525"/>
          <a:ext cx="5419725" cy="24764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xdr:col>
      <xdr:colOff>104775</xdr:colOff>
      <xdr:row>10</xdr:row>
      <xdr:rowOff>95250</xdr:rowOff>
    </xdr:from>
    <xdr:ext cx="5596002" cy="284487"/>
    <xdr:sp macro="" textlink="">
      <xdr:nvSpPr>
        <xdr:cNvPr id="35" name="CheckBox1" hidden="1">
          <a:extLst>
            <a:ext uri="{63B3BB69-23CF-44E3-9099-C40C66FF867C}">
              <a14:compatExt xmlns:a14="http://schemas.microsoft.com/office/drawing/2010/main" spid="_x0000_s1125"/>
            </a:ext>
            <a:ext uri="{FF2B5EF4-FFF2-40B4-BE49-F238E27FC236}">
              <a16:creationId xmlns:a16="http://schemas.microsoft.com/office/drawing/2014/main" id="{00000000-0008-0000-0200-000023000000}"/>
            </a:ext>
          </a:extLst>
        </xdr:cNvPr>
        <xdr:cNvSpPr/>
      </xdr:nvSpPr>
      <xdr:spPr bwMode="auto">
        <a:xfrm>
          <a:off x="844794" y="6945923"/>
          <a:ext cx="5596002" cy="28448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xdr:col>
      <xdr:colOff>104775</xdr:colOff>
      <xdr:row>11</xdr:row>
      <xdr:rowOff>28575</xdr:rowOff>
    </xdr:from>
    <xdr:ext cx="5634102" cy="270361"/>
    <xdr:sp macro="" textlink="">
      <xdr:nvSpPr>
        <xdr:cNvPr id="36" name="CheckBox2" hidden="1">
          <a:extLst>
            <a:ext uri="{63B3BB69-23CF-44E3-9099-C40C66FF867C}">
              <a14:compatExt xmlns:a14="http://schemas.microsoft.com/office/drawing/2010/main" spid="_x0000_s1127"/>
            </a:ext>
            <a:ext uri="{FF2B5EF4-FFF2-40B4-BE49-F238E27FC236}">
              <a16:creationId xmlns:a16="http://schemas.microsoft.com/office/drawing/2014/main" id="{00000000-0008-0000-0200-000024000000}"/>
            </a:ext>
          </a:extLst>
        </xdr:cNvPr>
        <xdr:cNvSpPr/>
      </xdr:nvSpPr>
      <xdr:spPr bwMode="auto">
        <a:xfrm>
          <a:off x="844794" y="7099056"/>
          <a:ext cx="5634102" cy="27036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xdr:col>
      <xdr:colOff>104775</xdr:colOff>
      <xdr:row>11</xdr:row>
      <xdr:rowOff>333375</xdr:rowOff>
    </xdr:from>
    <xdr:ext cx="5424552" cy="256637"/>
    <xdr:sp macro="" textlink="">
      <xdr:nvSpPr>
        <xdr:cNvPr id="37" name="CheckBox3" hidden="1">
          <a:extLst>
            <a:ext uri="{63B3BB69-23CF-44E3-9099-C40C66FF867C}">
              <a14:compatExt xmlns:a14="http://schemas.microsoft.com/office/drawing/2010/main" spid="_x0000_s1129"/>
            </a:ext>
            <a:ext uri="{FF2B5EF4-FFF2-40B4-BE49-F238E27FC236}">
              <a16:creationId xmlns:a16="http://schemas.microsoft.com/office/drawing/2014/main" id="{00000000-0008-0000-0200-000025000000}"/>
            </a:ext>
          </a:extLst>
        </xdr:cNvPr>
        <xdr:cNvSpPr/>
      </xdr:nvSpPr>
      <xdr:spPr bwMode="auto">
        <a:xfrm>
          <a:off x="844794" y="7308606"/>
          <a:ext cx="5424552" cy="25663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10</xdr:row>
          <xdr:rowOff>171450</xdr:rowOff>
        </xdr:from>
        <xdr:to>
          <xdr:col>4</xdr:col>
          <xdr:colOff>628650</xdr:colOff>
          <xdr:row>12</xdr:row>
          <xdr:rowOff>31750</xdr:rowOff>
        </xdr:to>
        <xdr:sp macro="" textlink="">
          <xdr:nvSpPr>
            <xdr:cNvPr id="26677" name="Check Box 53" hidden="1">
              <a:extLst>
                <a:ext uri="{63B3BB69-23CF-44E3-9099-C40C66FF867C}">
                  <a14:compatExt spid="_x0000_s26677"/>
                </a:ext>
                <a:ext uri="{FF2B5EF4-FFF2-40B4-BE49-F238E27FC236}">
                  <a16:creationId xmlns:a16="http://schemas.microsoft.com/office/drawing/2014/main" id="{00000000-0008-0000-0200-00003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209550</xdr:rowOff>
        </xdr:from>
        <xdr:to>
          <xdr:col>4</xdr:col>
          <xdr:colOff>679450</xdr:colOff>
          <xdr:row>13</xdr:row>
          <xdr:rowOff>31750</xdr:rowOff>
        </xdr:to>
        <xdr:sp macro="" textlink="">
          <xdr:nvSpPr>
            <xdr:cNvPr id="26678" name="Check Box 54" hidden="1">
              <a:extLst>
                <a:ext uri="{63B3BB69-23CF-44E3-9099-C40C66FF867C}">
                  <a14:compatExt spid="_x0000_s26678"/>
                </a:ext>
                <a:ext uri="{FF2B5EF4-FFF2-40B4-BE49-F238E27FC236}">
                  <a16:creationId xmlns:a16="http://schemas.microsoft.com/office/drawing/2014/main" id="{00000000-0008-0000-0200-00003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438150</xdr:rowOff>
        </xdr:from>
        <xdr:to>
          <xdr:col>4</xdr:col>
          <xdr:colOff>704850</xdr:colOff>
          <xdr:row>11</xdr:row>
          <xdr:rowOff>38100</xdr:rowOff>
        </xdr:to>
        <xdr:sp macro="" textlink="">
          <xdr:nvSpPr>
            <xdr:cNvPr id="26679" name="Check Box 55" hidden="1">
              <a:extLst>
                <a:ext uri="{63B3BB69-23CF-44E3-9099-C40C66FF867C}">
                  <a14:compatExt spid="_x0000_s26679"/>
                </a:ext>
                <a:ext uri="{FF2B5EF4-FFF2-40B4-BE49-F238E27FC236}">
                  <a16:creationId xmlns:a16="http://schemas.microsoft.com/office/drawing/2014/main" id="{00000000-0008-0000-0200-00003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12700</xdr:rowOff>
        </xdr:from>
        <xdr:to>
          <xdr:col>6</xdr:col>
          <xdr:colOff>1333500</xdr:colOff>
          <xdr:row>2</xdr:row>
          <xdr:rowOff>228600</xdr:rowOff>
        </xdr:to>
        <xdr:sp macro="" textlink="">
          <xdr:nvSpPr>
            <xdr:cNvPr id="26680" name="Label 56" hidden="1">
              <a:extLst>
                <a:ext uri="{63B3BB69-23CF-44E3-9099-C40C66FF867C}">
                  <a14:compatExt spid="_x0000_s26680"/>
                </a:ext>
                <a:ext uri="{FF2B5EF4-FFF2-40B4-BE49-F238E27FC236}">
                  <a16:creationId xmlns:a16="http://schemas.microsoft.com/office/drawing/2014/main" id="{00000000-0008-0000-0200-0000386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7</xdr:col>
      <xdr:colOff>28575</xdr:colOff>
      <xdr:row>18</xdr:row>
      <xdr:rowOff>38099</xdr:rowOff>
    </xdr:from>
    <xdr:ext cx="6638925" cy="34572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8201025" y="3886199"/>
              <a:ext cx="6638925" cy="345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14:m>
                <m:oMath xmlns:m="http://schemas.openxmlformats.org/officeDocument/2006/math">
                  <m:r>
                    <a:rPr lang="en-US" sz="900" b="0" i="1">
                      <a:latin typeface="Cambria Math"/>
                    </a:rPr>
                    <m:t>𝐷𝑒</m:t>
                  </m:r>
                  <m:r>
                    <a:rPr lang="en-US" sz="900" b="0" i="1">
                      <a:latin typeface="Cambria Math"/>
                    </a:rPr>
                    <m:t> </m:t>
                  </m:r>
                  <m:r>
                    <a:rPr lang="en-US" sz="900" b="0" i="1">
                      <a:latin typeface="Cambria Math"/>
                    </a:rPr>
                    <m:t>𝑀𝑖𝑛𝑖𝑚𝑖𝑠</m:t>
                  </m:r>
                  <m:r>
                    <a:rPr lang="en-US" sz="900" b="0" i="1">
                      <a:latin typeface="Cambria Math"/>
                    </a:rPr>
                    <m:t> </m:t>
                  </m:r>
                  <m:r>
                    <a:rPr lang="en-US" sz="900" b="0" i="1">
                      <a:latin typeface="Cambria Math"/>
                    </a:rPr>
                    <m:t>𝑃𝑒𝑟𝑐𝑒𝑛𝑡𝑎𝑔𝑒</m:t>
                  </m:r>
                  <m:r>
                    <a:rPr lang="en-US" sz="900" b="0" i="1">
                      <a:latin typeface="Cambria Math"/>
                    </a:rPr>
                    <m:t>= </m:t>
                  </m:r>
                  <m:f>
                    <m:fPr>
                      <m:ctrlPr>
                        <a:rPr lang="en-US" sz="900" b="0" i="1">
                          <a:latin typeface="Cambria Math" panose="02040503050406030204" pitchFamily="18" charset="0"/>
                        </a:rPr>
                      </m:ctrlPr>
                    </m:fPr>
                    <m:num>
                      <m:r>
                        <a:rPr lang="en-US" sz="900" b="0" i="1">
                          <a:latin typeface="Cambria Math"/>
                        </a:rPr>
                        <m:t>𝑇𝑜𝑡𝑎𝑙</m:t>
                      </m:r>
                      <m:r>
                        <a:rPr lang="en-US" sz="900" b="0" i="1">
                          <a:latin typeface="Cambria Math"/>
                        </a:rPr>
                        <m:t> </m:t>
                      </m:r>
                      <m:r>
                        <a:rPr lang="en-US" sz="900" b="0" i="1">
                          <a:latin typeface="Cambria Math"/>
                        </a:rPr>
                        <m:t>𝑣𝑎𝑙𝑢𝑒</m:t>
                      </m:r>
                      <m:r>
                        <a:rPr lang="en-US" sz="900" b="0" i="1">
                          <a:latin typeface="Cambria Math"/>
                        </a:rPr>
                        <m:t> </m:t>
                      </m:r>
                      <m:r>
                        <a:rPr lang="en-US" sz="900" b="0" i="1">
                          <a:latin typeface="Cambria Math"/>
                        </a:rPr>
                        <m:t>𝑜𝑓</m:t>
                      </m:r>
                      <m:r>
                        <a:rPr lang="en-US" sz="900" b="0" i="1">
                          <a:latin typeface="Cambria Math"/>
                        </a:rPr>
                        <m:t> </m:t>
                      </m:r>
                      <m:r>
                        <a:rPr lang="en-US" sz="900" b="0" i="1">
                          <a:latin typeface="Cambria Math"/>
                        </a:rPr>
                        <m:t>𝑛𝑜𝑛</m:t>
                      </m:r>
                      <m:r>
                        <a:rPr lang="en-US" sz="900" b="0" i="1">
                          <a:latin typeface="Cambria Math"/>
                        </a:rPr>
                        <m:t>−</m:t>
                      </m:r>
                      <m:r>
                        <a:rPr lang="en-US" sz="900" b="0" i="1">
                          <a:latin typeface="Cambria Math"/>
                        </a:rPr>
                        <m:t>𝑜𝑟𝑖𝑔𝑖𝑛𝑎𝑡𝑖𝑛𝑔</m:t>
                      </m:r>
                      <m:r>
                        <a:rPr lang="en-US" sz="900" b="0" i="1">
                          <a:latin typeface="Cambria Math"/>
                        </a:rPr>
                        <m:t> </m:t>
                      </m:r>
                      <m:r>
                        <a:rPr lang="en-US" sz="900" b="0" i="1">
                          <a:latin typeface="Cambria Math"/>
                        </a:rPr>
                        <m:t>𝑚𝑎𝑡𝑒𝑟𝑖𝑎𝑙𝑠</m:t>
                      </m:r>
                      <m:r>
                        <a:rPr lang="en-US" sz="900" b="0" i="1">
                          <a:latin typeface="Cambria Math"/>
                        </a:rPr>
                        <m:t> </m:t>
                      </m:r>
                      <m:r>
                        <a:rPr lang="en-US" sz="900" b="0" i="1">
                          <a:latin typeface="Cambria Math"/>
                        </a:rPr>
                        <m:t>𝑤h𝑖𝑐h</m:t>
                      </m:r>
                      <m:r>
                        <a:rPr lang="en-US" sz="900" b="0" i="1">
                          <a:latin typeface="Cambria Math"/>
                        </a:rPr>
                        <m:t> </m:t>
                      </m:r>
                      <m:r>
                        <a:rPr lang="en-US" sz="900" b="0" i="1">
                          <a:latin typeface="Cambria Math"/>
                        </a:rPr>
                        <m:t>𝑑𝑖𝑑</m:t>
                      </m:r>
                      <m:r>
                        <a:rPr lang="en-US" sz="900" b="0" i="1">
                          <a:latin typeface="Cambria Math"/>
                        </a:rPr>
                        <m:t> </m:t>
                      </m:r>
                      <m:r>
                        <a:rPr lang="en-US" sz="900" b="0" i="1">
                          <a:latin typeface="Cambria Math"/>
                        </a:rPr>
                        <m:t>𝑛𝑜𝑡</m:t>
                      </m:r>
                      <m:r>
                        <a:rPr lang="en-US" sz="900" b="0" i="1">
                          <a:latin typeface="Cambria Math"/>
                        </a:rPr>
                        <m:t> </m:t>
                      </m:r>
                      <m:r>
                        <a:rPr lang="en-US" sz="900" b="0" i="1">
                          <a:latin typeface="Cambria Math"/>
                        </a:rPr>
                        <m:t>𝑢𝑛𝑑𝑒𝑟𝑔𝑜</m:t>
                      </m:r>
                      <m:r>
                        <a:rPr lang="en-US" sz="900" b="0" i="1">
                          <a:latin typeface="Cambria Math"/>
                        </a:rPr>
                        <m:t> </m:t>
                      </m:r>
                      <m:r>
                        <a:rPr lang="en-US" sz="900" b="0" i="1">
                          <a:latin typeface="Cambria Math"/>
                        </a:rPr>
                        <m:t>𝑎𝑝𝑝𝑙𝑖𝑐𝑎𝑏𝑙𝑒</m:t>
                      </m:r>
                      <m:r>
                        <a:rPr lang="en-US" sz="900" b="0" i="1">
                          <a:latin typeface="Cambria Math"/>
                        </a:rPr>
                        <m:t> </m:t>
                      </m:r>
                      <m:r>
                        <a:rPr lang="en-US" sz="900" b="0" i="1">
                          <a:latin typeface="Cambria Math"/>
                        </a:rPr>
                        <m:t>𝑡𝑎𝑟𝑖𝑓𝑓</m:t>
                      </m:r>
                      <m:r>
                        <a:rPr lang="en-US" sz="900" b="0" i="1">
                          <a:latin typeface="Cambria Math"/>
                        </a:rPr>
                        <m:t> </m:t>
                      </m:r>
                      <m:r>
                        <a:rPr lang="en-US" sz="900" b="0" i="1">
                          <a:latin typeface="Cambria Math"/>
                        </a:rPr>
                        <m:t>𝑐𝑙𝑎𝑠𝑠𝑖𝑓𝑖𝑐𝑎𝑡𝑖𝑜𝑛</m:t>
                      </m:r>
                      <m:r>
                        <a:rPr lang="en-US" sz="900" b="0" i="1">
                          <a:latin typeface="Cambria Math"/>
                        </a:rPr>
                        <m:t> </m:t>
                      </m:r>
                      <m:r>
                        <a:rPr lang="en-US" sz="900" b="0" i="1">
                          <a:latin typeface="Cambria Math"/>
                        </a:rPr>
                        <m:t>𝑐h𝑎𝑛𝑔𝑒</m:t>
                      </m:r>
                    </m:num>
                    <m:den>
                      <m:r>
                        <a:rPr lang="en-US" sz="900" b="0" i="1">
                          <a:latin typeface="Cambria Math"/>
                        </a:rPr>
                        <m:t>𝐹𝑂𝐵</m:t>
                      </m:r>
                      <m:r>
                        <a:rPr lang="en-US" sz="900" b="0" i="1">
                          <a:latin typeface="Cambria Math"/>
                        </a:rPr>
                        <m:t> </m:t>
                      </m:r>
                    </m:den>
                  </m:f>
                </m:oMath>
              </a14:m>
              <a:r>
                <a:rPr lang="en-SG" sz="900"/>
                <a:t> x 100%</a:t>
              </a:r>
            </a:p>
          </xdr:txBody>
        </xdr:sp>
      </mc:Choice>
      <mc:Fallback xmlns="">
        <xdr:sp macro="" textlink="">
          <xdr:nvSpPr>
            <xdr:cNvPr id="9" name="TextBox 8"/>
            <xdr:cNvSpPr txBox="1"/>
          </xdr:nvSpPr>
          <xdr:spPr>
            <a:xfrm>
              <a:off x="8201025" y="3886199"/>
              <a:ext cx="6638925" cy="345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900" b="0" i="0">
                  <a:latin typeface="Cambria Math"/>
                </a:rPr>
                <a:t>𝐷𝑒 𝑀𝑖𝑛𝑖𝑚𝑖𝑠 𝑃𝑒𝑟𝑐𝑒𝑛𝑡𝑎𝑔𝑒=  </a:t>
              </a:r>
              <a:r>
                <a:rPr lang="en-US" sz="900" b="0" i="0">
                  <a:latin typeface="Cambria Math" panose="02040503050406030204" pitchFamily="18" charset="0"/>
                </a:rPr>
                <a:t>(</a:t>
              </a:r>
              <a:r>
                <a:rPr lang="en-US" sz="900" b="0" i="0">
                  <a:latin typeface="Cambria Math"/>
                </a:rPr>
                <a:t>𝑇𝑜𝑡𝑎𝑙 𝑣𝑎𝑙𝑢𝑒 𝑜𝑓 𝑛𝑜𝑛−𝑜𝑟𝑖𝑔𝑖𝑛𝑎𝑡𝑖𝑛𝑔 𝑚𝑎𝑡𝑒𝑟𝑖𝑎𝑙𝑠 𝑤ℎ𝑖𝑐ℎ 𝑑𝑖𝑑 𝑛𝑜𝑡 𝑢𝑛𝑑𝑒𝑟𝑔𝑜 𝑎𝑝𝑝𝑙𝑖𝑐𝑎𝑏𝑙𝑒 𝑡𝑎𝑟𝑖𝑓𝑓 𝑐𝑙𝑎𝑠𝑠𝑖𝑓𝑖𝑐𝑎𝑡𝑖𝑜𝑛 𝑐ℎ𝑎𝑛𝑔𝑒</a:t>
              </a:r>
              <a:r>
                <a:rPr lang="en-US" sz="900" b="0" i="0">
                  <a:latin typeface="Cambria Math" panose="02040503050406030204" pitchFamily="18" charset="0"/>
                </a:rPr>
                <a:t>)/(</a:t>
              </a:r>
              <a:r>
                <a:rPr lang="en-US" sz="900" b="0" i="0">
                  <a:latin typeface="Cambria Math"/>
                </a:rPr>
                <a:t>𝐹𝑂𝐵 </a:t>
              </a:r>
              <a:r>
                <a:rPr lang="en-US" sz="900" b="0" i="0">
                  <a:latin typeface="Cambria Math" panose="02040503050406030204" pitchFamily="18" charset="0"/>
                </a:rPr>
                <a:t>)</a:t>
              </a:r>
              <a:r>
                <a:rPr lang="en-SG" sz="900"/>
                <a:t> x 100%</a:t>
              </a:r>
            </a:p>
          </xdr:txBody>
        </xdr:sp>
      </mc:Fallback>
    </mc:AlternateContent>
    <xdr:clientData/>
  </xdr:oneCellAnchor>
  <xdr:oneCellAnchor>
    <xdr:from>
      <xdr:col>7</xdr:col>
      <xdr:colOff>0</xdr:colOff>
      <xdr:row>21</xdr:row>
      <xdr:rowOff>28575</xdr:rowOff>
    </xdr:from>
    <xdr:ext cx="6553200" cy="309637"/>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8172450" y="4543425"/>
              <a:ext cx="6553200" cy="3096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14:m>
                <m:oMath xmlns:m="http://schemas.openxmlformats.org/officeDocument/2006/math">
                  <m:r>
                    <a:rPr lang="en-US" sz="900" b="0" i="1">
                      <a:latin typeface="Cambria Math"/>
                    </a:rPr>
                    <m:t>𝐷𝑒</m:t>
                  </m:r>
                  <m:r>
                    <a:rPr lang="en-US" sz="900" b="0" i="1">
                      <a:latin typeface="Cambria Math"/>
                    </a:rPr>
                    <m:t> </m:t>
                  </m:r>
                  <m:r>
                    <a:rPr lang="en-US" sz="900" b="0" i="1">
                      <a:latin typeface="Cambria Math"/>
                    </a:rPr>
                    <m:t>𝑀𝑖𝑛𝑖𝑚𝑖𝑠</m:t>
                  </m:r>
                  <m:r>
                    <a:rPr lang="en-US" sz="900" b="0" i="1">
                      <a:latin typeface="Cambria Math"/>
                    </a:rPr>
                    <m:t> </m:t>
                  </m:r>
                  <m:r>
                    <a:rPr lang="en-US" sz="900" b="0" i="1">
                      <a:latin typeface="Cambria Math"/>
                    </a:rPr>
                    <m:t>𝑃𝑒𝑟𝑐𝑒𝑛𝑡𝑎𝑔𝑒</m:t>
                  </m:r>
                  <m:r>
                    <a:rPr lang="en-US" sz="900" b="0" i="1">
                      <a:latin typeface="Cambria Math"/>
                    </a:rPr>
                    <m:t>= </m:t>
                  </m:r>
                  <m:f>
                    <m:fPr>
                      <m:ctrlPr>
                        <a:rPr lang="en-US" sz="900" b="0" i="1">
                          <a:latin typeface="Cambria Math" panose="02040503050406030204" pitchFamily="18" charset="0"/>
                        </a:rPr>
                      </m:ctrlPr>
                    </m:fPr>
                    <m:num>
                      <m:r>
                        <a:rPr lang="en-US" sz="900" b="0" i="1">
                          <a:latin typeface="Cambria Math"/>
                        </a:rPr>
                        <m:t>𝑇𝑜𝑡𝑎𝑙</m:t>
                      </m:r>
                      <m:r>
                        <a:rPr lang="en-US" sz="900" b="0" i="1">
                          <a:latin typeface="Cambria Math"/>
                        </a:rPr>
                        <m:t> </m:t>
                      </m:r>
                      <m:r>
                        <a:rPr lang="en-US" sz="900" b="0" i="1">
                          <a:latin typeface="Cambria Math"/>
                        </a:rPr>
                        <m:t>𝑤𝑒𝑖𝑔h𝑡</m:t>
                      </m:r>
                      <m:r>
                        <a:rPr lang="en-US" sz="900" b="0" i="1">
                          <a:latin typeface="Cambria Math"/>
                        </a:rPr>
                        <m:t> </m:t>
                      </m:r>
                      <m:r>
                        <a:rPr lang="en-US" sz="900" b="0" i="1">
                          <a:latin typeface="Cambria Math"/>
                        </a:rPr>
                        <m:t>𝑜𝑓</m:t>
                      </m:r>
                      <m:r>
                        <a:rPr lang="en-US" sz="900" b="0" i="1">
                          <a:latin typeface="Cambria Math"/>
                        </a:rPr>
                        <m:t> </m:t>
                      </m:r>
                      <m:r>
                        <a:rPr lang="en-US" sz="900" b="0" i="1">
                          <a:latin typeface="Cambria Math"/>
                        </a:rPr>
                        <m:t>𝑛𝑜𝑛</m:t>
                      </m:r>
                      <m:r>
                        <a:rPr lang="en-US" sz="900" b="0" i="1">
                          <a:latin typeface="Cambria Math"/>
                        </a:rPr>
                        <m:t>−</m:t>
                      </m:r>
                      <m:r>
                        <a:rPr lang="en-US" sz="900" b="0" i="1">
                          <a:latin typeface="Cambria Math"/>
                        </a:rPr>
                        <m:t>𝑜𝑟𝑖𝑔𝑖𝑛𝑎𝑡𝑖𝑛𝑔</m:t>
                      </m:r>
                      <m:r>
                        <a:rPr lang="en-US" sz="900" b="0" i="1">
                          <a:latin typeface="Cambria Math"/>
                        </a:rPr>
                        <m:t> </m:t>
                      </m:r>
                      <m:r>
                        <a:rPr lang="en-US" sz="900" b="0" i="1">
                          <a:latin typeface="Cambria Math"/>
                        </a:rPr>
                        <m:t>𝑚𝑎𝑡𝑒𝑟𝑖𝑎𝑙𝑠</m:t>
                      </m:r>
                      <m:r>
                        <a:rPr lang="en-US" sz="900" b="0" i="1">
                          <a:latin typeface="Cambria Math"/>
                        </a:rPr>
                        <m:t> </m:t>
                      </m:r>
                      <m:r>
                        <a:rPr lang="en-US" sz="900" b="0" i="1">
                          <a:latin typeface="Cambria Math"/>
                        </a:rPr>
                        <m:t>𝑤h𝑖𝑐h</m:t>
                      </m:r>
                      <m:r>
                        <a:rPr lang="en-US" sz="900" b="0" i="1">
                          <a:latin typeface="Cambria Math"/>
                        </a:rPr>
                        <m:t> </m:t>
                      </m:r>
                      <m:r>
                        <a:rPr lang="en-US" sz="900" b="0" i="1">
                          <a:latin typeface="Cambria Math"/>
                        </a:rPr>
                        <m:t>𝑑𝑖𝑑</m:t>
                      </m:r>
                      <m:r>
                        <a:rPr lang="en-US" sz="900" b="0" i="1">
                          <a:latin typeface="Cambria Math"/>
                        </a:rPr>
                        <m:t> </m:t>
                      </m:r>
                      <m:r>
                        <a:rPr lang="en-US" sz="900" b="0" i="1">
                          <a:latin typeface="Cambria Math"/>
                        </a:rPr>
                        <m:t>𝑛𝑜𝑡</m:t>
                      </m:r>
                      <m:r>
                        <a:rPr lang="en-US" sz="900" b="0" i="1">
                          <a:latin typeface="Cambria Math"/>
                        </a:rPr>
                        <m:t> </m:t>
                      </m:r>
                      <m:r>
                        <a:rPr lang="en-US" sz="900" b="0" i="1">
                          <a:latin typeface="Cambria Math"/>
                        </a:rPr>
                        <m:t>𝑢𝑛𝑑𝑒𝑟𝑔𝑜</m:t>
                      </m:r>
                      <m:r>
                        <a:rPr lang="en-US" sz="900" b="0" i="1">
                          <a:latin typeface="Cambria Math"/>
                        </a:rPr>
                        <m:t> </m:t>
                      </m:r>
                      <m:r>
                        <a:rPr lang="en-US" sz="900" b="0" i="1">
                          <a:latin typeface="Cambria Math"/>
                        </a:rPr>
                        <m:t>𝑎𝑝𝑝𝑙𝑖𝑐𝑎𝑏𝑙𝑒</m:t>
                      </m:r>
                      <m:r>
                        <a:rPr lang="en-US" sz="900" b="0" i="1">
                          <a:latin typeface="Cambria Math"/>
                        </a:rPr>
                        <m:t> </m:t>
                      </m:r>
                      <m:r>
                        <a:rPr lang="en-US" sz="900" b="0" i="1">
                          <a:latin typeface="Cambria Math"/>
                        </a:rPr>
                        <m:t>𝑡𝑎𝑟𝑖𝑓𝑓</m:t>
                      </m:r>
                      <m:r>
                        <a:rPr lang="en-US" sz="900" b="0" i="1">
                          <a:latin typeface="Cambria Math"/>
                        </a:rPr>
                        <m:t> </m:t>
                      </m:r>
                      <m:r>
                        <a:rPr lang="en-US" sz="900" b="0" i="1">
                          <a:latin typeface="Cambria Math"/>
                        </a:rPr>
                        <m:t>𝑐𝑙𝑎𝑠𝑠𝑖𝑓𝑖𝑐𝑎𝑡𝑖𝑜𝑛</m:t>
                      </m:r>
                      <m:r>
                        <a:rPr lang="en-US" sz="900" b="0" i="1">
                          <a:latin typeface="Cambria Math"/>
                        </a:rPr>
                        <m:t> </m:t>
                      </m:r>
                      <m:r>
                        <a:rPr lang="en-US" sz="900" b="0" i="1">
                          <a:latin typeface="Cambria Math"/>
                        </a:rPr>
                        <m:t>𝑐h𝑎𝑛𝑔𝑒</m:t>
                      </m:r>
                    </m:num>
                    <m:den>
                      <m:r>
                        <a:rPr lang="en-US" sz="900" b="0" i="1">
                          <a:latin typeface="Cambria Math"/>
                        </a:rPr>
                        <m:t>𝑇𝑜𝑡𝑎𝑙</m:t>
                      </m:r>
                      <m:r>
                        <a:rPr lang="en-US" sz="900" b="0" i="1">
                          <a:latin typeface="Cambria Math"/>
                        </a:rPr>
                        <m:t> </m:t>
                      </m:r>
                      <m:r>
                        <a:rPr lang="en-US" sz="900" b="0" i="1">
                          <a:latin typeface="Cambria Math"/>
                        </a:rPr>
                        <m:t>𝑤𝑒𝑖𝑔h𝑡</m:t>
                      </m:r>
                      <m:r>
                        <a:rPr lang="en-US" sz="900" b="0" i="1">
                          <a:latin typeface="Cambria Math"/>
                        </a:rPr>
                        <m:t> </m:t>
                      </m:r>
                      <m:r>
                        <a:rPr lang="en-US" sz="900" b="0" i="1">
                          <a:latin typeface="Cambria Math"/>
                        </a:rPr>
                        <m:t>𝑜𝑓</m:t>
                      </m:r>
                      <m:r>
                        <a:rPr lang="en-US" sz="900" b="0" i="1">
                          <a:latin typeface="Cambria Math"/>
                        </a:rPr>
                        <m:t> </m:t>
                      </m:r>
                      <m:r>
                        <a:rPr lang="en-US" sz="900" b="0" i="1">
                          <a:latin typeface="Cambria Math"/>
                        </a:rPr>
                        <m:t>𝑡h𝑒</m:t>
                      </m:r>
                      <m:r>
                        <a:rPr lang="en-US" sz="900" b="0" i="1">
                          <a:latin typeface="Cambria Math"/>
                        </a:rPr>
                        <m:t>  </m:t>
                      </m:r>
                      <m:r>
                        <a:rPr lang="en-US" sz="900" b="0" i="1">
                          <a:latin typeface="Cambria Math"/>
                        </a:rPr>
                        <m:t>𝑔𝑜𝑜𝑑</m:t>
                      </m:r>
                    </m:den>
                  </m:f>
                </m:oMath>
              </a14:m>
              <a:r>
                <a:rPr lang="en-SG" sz="900"/>
                <a:t> x 100%</a:t>
              </a:r>
            </a:p>
          </xdr:txBody>
        </xdr:sp>
      </mc:Choice>
      <mc:Fallback xmlns="">
        <xdr:sp macro="" textlink="">
          <xdr:nvSpPr>
            <xdr:cNvPr id="12" name="TextBox 11"/>
            <xdr:cNvSpPr txBox="1"/>
          </xdr:nvSpPr>
          <xdr:spPr>
            <a:xfrm>
              <a:off x="8172450" y="4543425"/>
              <a:ext cx="6553200" cy="3096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0" i="0">
                  <a:latin typeface="Cambria Math"/>
                </a:rPr>
                <a:t>𝐷𝑒 𝑀𝑖𝑛𝑖𝑚𝑖𝑠 𝑃𝑒𝑟𝑐𝑒𝑛𝑡𝑎𝑔𝑒=  </a:t>
              </a:r>
              <a:r>
                <a:rPr lang="en-US" sz="900" b="0" i="0">
                  <a:latin typeface="Cambria Math" panose="02040503050406030204" pitchFamily="18" charset="0"/>
                </a:rPr>
                <a:t>(</a:t>
              </a:r>
              <a:r>
                <a:rPr lang="en-US" sz="900" b="0" i="0">
                  <a:latin typeface="Cambria Math"/>
                </a:rPr>
                <a:t>𝑇𝑜𝑡𝑎𝑙 𝑤𝑒𝑖𝑔ℎ𝑡 𝑜𝑓 𝑛𝑜𝑛−𝑜𝑟𝑖𝑔𝑖𝑛𝑎𝑡𝑖𝑛𝑔 𝑚𝑎𝑡𝑒𝑟𝑖𝑎𝑙𝑠 𝑤ℎ𝑖𝑐ℎ 𝑑𝑖𝑑 𝑛𝑜𝑡 𝑢𝑛𝑑𝑒𝑟𝑔𝑜 𝑎𝑝𝑝𝑙𝑖𝑐𝑎𝑏𝑙𝑒 𝑡𝑎𝑟𝑖𝑓𝑓 𝑐𝑙𝑎𝑠𝑠𝑖𝑓𝑖𝑐𝑎𝑡𝑖𝑜𝑛 𝑐ℎ𝑎𝑛𝑔𝑒</a:t>
              </a:r>
              <a:r>
                <a:rPr lang="en-US" sz="900" b="0" i="0">
                  <a:latin typeface="Cambria Math" panose="02040503050406030204" pitchFamily="18" charset="0"/>
                </a:rPr>
                <a:t>)/(</a:t>
              </a:r>
              <a:r>
                <a:rPr lang="en-US" sz="900" b="0" i="0">
                  <a:latin typeface="Cambria Math"/>
                </a:rPr>
                <a:t>𝑇𝑜𝑡𝑎𝑙 𝑤𝑒𝑖𝑔ℎ𝑡 𝑜𝑓 𝑡ℎ𝑒  𝑔𝑜𝑜𝑑</a:t>
              </a:r>
              <a:r>
                <a:rPr lang="en-US" sz="900" b="0" i="0">
                  <a:latin typeface="Cambria Math" panose="02040503050406030204" pitchFamily="18" charset="0"/>
                </a:rPr>
                <a:t>)</a:t>
              </a:r>
              <a:r>
                <a:rPr lang="en-SG" sz="900"/>
                <a:t> x 100%</a:t>
              </a:r>
            </a:p>
          </xdr:txBody>
        </xdr:sp>
      </mc:Fallback>
    </mc:AlternateContent>
    <xdr:clientData/>
  </xdr:oneCellAnchor>
  <xdr:oneCellAnchor>
    <xdr:from>
      <xdr:col>6</xdr:col>
      <xdr:colOff>600075</xdr:colOff>
      <xdr:row>24</xdr:row>
      <xdr:rowOff>38100</xdr:rowOff>
    </xdr:from>
    <xdr:ext cx="7248525" cy="309637"/>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8162925" y="5210175"/>
              <a:ext cx="7248525" cy="309637"/>
            </a:xfrm>
            <a:prstGeom prst="rect">
              <a:avLst/>
            </a:prstGeom>
            <a:noFill/>
            <a:ln>
              <a:noFill/>
            </a:ln>
            <a:effectLst/>
          </xdr:spPr>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𝐷𝑒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𝑀𝑖𝑛𝑖𝑚𝑖𝑠</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𝑃𝑒𝑟𝑐𝑒𝑛𝑡𝑎𝑔𝑒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f>
                    <m:fPr>
                      <m:ctrlPr>
                        <a:rPr kumimoji="0" lang="en-US" sz="9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𝑊𝑒𝑖𝑔h𝑡</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𝑜𝑓</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𝑓𝑖𝑏𝑟𝑒𝑠</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𝑜𝑟</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𝑦𝑎𝑟𝑛𝑠</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𝑢𝑠𝑒𝑑</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𝑖𝑛</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𝑡h𝑒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𝑛𝑜𝑛</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𝑜𝑟𝑖𝑔𝑖𝑛𝑎𝑡𝑖𝑛𝑔</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𝑚𝑎𝑡𝑒𝑟𝑖𝑎𝑙𝑠</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𝑡h𝑎𝑡</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𝑑𝑖𝑑</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𝑛𝑜𝑡</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𝑢𝑛𝑑𝑒𝑟𝑔𝑜</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𝑎𝑝𝑝𝑙𝑖𝑐𝑎𝑏𝑙𝑒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𝑡𝑎𝑟𝑖𝑓𝑓</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𝑐𝑙𝑎𝑠𝑠𝑖𝑓𝑖𝑐𝑎𝑡𝑖𝑜𝑛</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𝑐h𝑎𝑛𝑔𝑒</m:t>
                      </m:r>
                    </m:num>
                    <m:den>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𝑇𝑜𝑡𝑎𝑙</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𝑤𝑒𝑖𝑔h𝑡</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𝑜𝑓</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𝑡h𝑒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𝑛𝑜𝑛</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𝑜𝑟𝑖𝑔𝑖𝑛𝑎𝑡𝑖𝑛𝑔</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𝑚𝑎𝑡𝑒𝑟𝑖𝑎𝑙𝑠</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𝑤h𝑖𝑐h</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𝑑𝑖𝑑</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𝑛𝑜𝑡</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𝑢𝑛𝑑𝑒𝑟𝑔𝑜</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𝑎𝑝𝑝𝑙𝑖𝑐𝑎𝑏𝑙𝑒</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𝑡𝑎𝑟𝑖𝑓𝑓</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𝑐𝑙𝑎𝑠𝑠𝑖𝑓𝑖𝑐𝑎𝑡𝑖𝑜𝑛</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 </m:t>
                      </m:r>
                      <m:r>
                        <a:rPr kumimoji="0" lang="en-US" sz="900" b="0" i="1" u="none" strike="noStrike" kern="0" cap="none" spc="0" normalizeH="0" baseline="0" noProof="0">
                          <a:ln>
                            <a:noFill/>
                          </a:ln>
                          <a:solidFill>
                            <a:sysClr val="windowText" lastClr="000000"/>
                          </a:solidFill>
                          <a:effectLst/>
                          <a:uLnTx/>
                          <a:uFillTx/>
                          <a:latin typeface="Cambria Math"/>
                          <a:ea typeface="+mn-ea"/>
                          <a:cs typeface="+mn-cs"/>
                        </a:rPr>
                        <m:t>𝑐h𝑎𝑛𝑔𝑒</m:t>
                      </m:r>
                    </m:den>
                  </m:f>
                </m:oMath>
              </a14:m>
              <a:r>
                <a:rPr kumimoji="0" lang="en-SG" sz="900" b="0" i="0" u="none" strike="noStrike" kern="0" cap="none" spc="0" normalizeH="0" baseline="0" noProof="0">
                  <a:ln>
                    <a:noFill/>
                  </a:ln>
                  <a:solidFill>
                    <a:sysClr val="windowText" lastClr="000000"/>
                  </a:solidFill>
                  <a:effectLst/>
                  <a:uLnTx/>
                  <a:uFillTx/>
                  <a:latin typeface="Calibri" panose="020F0502020204030204"/>
                  <a:ea typeface="+mn-ea"/>
                  <a:cs typeface="+mn-cs"/>
                </a:rPr>
                <a:t> x 100%</a:t>
              </a:r>
            </a:p>
          </xdr:txBody>
        </xdr:sp>
      </mc:Choice>
      <mc:Fallback xmlns="">
        <xdr:sp macro="" textlink="">
          <xdr:nvSpPr>
            <xdr:cNvPr id="14" name="TextBox 13"/>
            <xdr:cNvSpPr txBox="1"/>
          </xdr:nvSpPr>
          <xdr:spPr>
            <a:xfrm>
              <a:off x="8162925" y="5210175"/>
              <a:ext cx="7248525" cy="309637"/>
            </a:xfrm>
            <a:prstGeom prst="rect">
              <a:avLst/>
            </a:prstGeom>
            <a:noFill/>
            <a:ln>
              <a:noFill/>
            </a:ln>
            <a:effectLst/>
          </xdr:spPr>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Text" lastClr="000000"/>
                  </a:solidFill>
                  <a:effectLst/>
                  <a:uLnTx/>
                  <a:uFillTx/>
                  <a:latin typeface="Cambria Math"/>
                  <a:ea typeface="+mn-ea"/>
                  <a:cs typeface="+mn-cs"/>
                </a:rPr>
                <a:t>𝐷𝑒 𝑀𝑖𝑛𝑖𝑚𝑖𝑠 𝑃𝑒𝑟𝑐𝑒𝑛𝑡𝑎𝑔𝑒=  </a:t>
              </a:r>
              <a:r>
                <a:rPr kumimoji="0" lang="en-US" sz="9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a:t>
              </a:r>
              <a:r>
                <a:rPr kumimoji="0" lang="en-US" sz="900" b="0" i="0" u="none" strike="noStrike" kern="0" cap="none" spc="0" normalizeH="0" baseline="0" noProof="0">
                  <a:ln>
                    <a:noFill/>
                  </a:ln>
                  <a:solidFill>
                    <a:sysClr val="windowText" lastClr="000000"/>
                  </a:solidFill>
                  <a:effectLst/>
                  <a:uLnTx/>
                  <a:uFillTx/>
                  <a:latin typeface="Cambria Math"/>
                  <a:ea typeface="+mn-ea"/>
                  <a:cs typeface="+mn-cs"/>
                </a:rPr>
                <a:t>𝑊𝑒𝑖𝑔ℎ𝑡 𝑜𝑓 𝑓𝑖𝑏𝑟𝑒𝑠 𝑜𝑟 𝑦𝑎𝑟𝑛𝑠 𝑢𝑠𝑒𝑑  𝑖𝑛 𝑡ℎ𝑒 𝑛𝑜𝑛−𝑜𝑟𝑖𝑔𝑖𝑛𝑎𝑡𝑖𝑛𝑔 𝑚𝑎𝑡𝑒𝑟𝑖𝑎𝑙𝑠 𝑡ℎ𝑎𝑡 𝑑𝑖𝑑 𝑛𝑜𝑡 𝑢𝑛𝑑𝑒𝑟𝑔𝑜 𝑎𝑝𝑝𝑙𝑖𝑐𝑎𝑏𝑙𝑒 𝑡𝑎𝑟𝑖𝑓𝑓 𝑐𝑙𝑎𝑠𝑠𝑖𝑓𝑖𝑐𝑎𝑡𝑖𝑜𝑛 𝑐ℎ𝑎𝑛𝑔𝑒</a:t>
              </a:r>
              <a:r>
                <a:rPr kumimoji="0" lang="en-US" sz="9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a:t>
              </a:r>
              <a:r>
                <a:rPr kumimoji="0" lang="en-US" sz="900" b="0" i="0" u="none" strike="noStrike" kern="0" cap="none" spc="0" normalizeH="0" baseline="0" noProof="0">
                  <a:ln>
                    <a:noFill/>
                  </a:ln>
                  <a:solidFill>
                    <a:sysClr val="windowText" lastClr="000000"/>
                  </a:solidFill>
                  <a:effectLst/>
                  <a:uLnTx/>
                  <a:uFillTx/>
                  <a:latin typeface="Cambria Math"/>
                  <a:ea typeface="+mn-ea"/>
                  <a:cs typeface="+mn-cs"/>
                </a:rPr>
                <a:t>𝑇𝑜𝑡𝑎𝑙 𝑤𝑒𝑖𝑔ℎ𝑡 𝑜𝑓 𝑡ℎ𝑒 𝑛𝑜𝑛−𝑜𝑟𝑖𝑔𝑖𝑛𝑎𝑡𝑖𝑛𝑔 𝑚𝑎𝑡𝑒𝑟𝑖𝑎𝑙𝑠 𝑤ℎ𝑖𝑐ℎ 𝑑𝑖𝑑 𝑛𝑜𝑡 𝑢𝑛𝑑𝑒𝑟𝑔𝑜 𝑎𝑝𝑝𝑙𝑖𝑐𝑎𝑏𝑙𝑒 𝑡𝑎𝑟𝑖𝑓𝑓 𝑐𝑙𝑎𝑠𝑠𝑖𝑓𝑖𝑐𝑎𝑡𝑖𝑜𝑛 𝑐ℎ𝑎𝑛𝑔𝑒</a:t>
              </a:r>
              <a:r>
                <a:rPr kumimoji="0" lang="en-US" sz="9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a:t>
              </a:r>
              <a:r>
                <a:rPr kumimoji="0" lang="en-SG" sz="900" b="0" i="0" u="none" strike="noStrike" kern="0" cap="none" spc="0" normalizeH="0" baseline="0" noProof="0">
                  <a:ln>
                    <a:noFill/>
                  </a:ln>
                  <a:solidFill>
                    <a:sysClr val="windowText" lastClr="000000"/>
                  </a:solidFill>
                  <a:effectLst/>
                  <a:uLnTx/>
                  <a:uFillTx/>
                  <a:latin typeface="Calibri" panose="020F0502020204030204"/>
                  <a:ea typeface="+mn-ea"/>
                  <a:cs typeface="+mn-cs"/>
                </a:rPr>
                <a:t> x 100%</a:t>
              </a:r>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trlProp" Target="../ctrlProps/ctrlProp3.xml"/><Relationship Id="rId18" Type="http://schemas.openxmlformats.org/officeDocument/2006/relationships/ctrlProp" Target="../ctrlProps/ctrlProp8.xml"/><Relationship Id="rId3" Type="http://schemas.openxmlformats.org/officeDocument/2006/relationships/hyperlink" Target="http://www.customs.gov.sg/businesses/harmonized-system-hs-classification-of-goods" TargetMode="External"/><Relationship Id="rId7" Type="http://schemas.openxmlformats.org/officeDocument/2006/relationships/hyperlink" Target="http://www.fta.gov.sg/" TargetMode="External"/><Relationship Id="rId12" Type="http://schemas.openxmlformats.org/officeDocument/2006/relationships/ctrlProp" Target="../ctrlProps/ctrlProp2.xml"/><Relationship Id="rId17" Type="http://schemas.openxmlformats.org/officeDocument/2006/relationships/ctrlProp" Target="../ctrlProps/ctrlProp7.xml"/><Relationship Id="rId2" Type="http://schemas.openxmlformats.org/officeDocument/2006/relationships/hyperlink" Target="http://www.customs.gov.sg/~/media/cus/files/business/exporting%20goods/cert%20of%20origin/handbook%20on%20the%20rules%20of%20origin%20for%20scheme%20of%20preferences%20_feb_2016.pdf?la=en" TargetMode="External"/><Relationship Id="rId16" Type="http://schemas.openxmlformats.org/officeDocument/2006/relationships/ctrlProp" Target="../ctrlProps/ctrlProp6.xml"/><Relationship Id="rId20" Type="http://schemas.openxmlformats.org/officeDocument/2006/relationships/comments" Target="../comments1.xml"/><Relationship Id="rId1" Type="http://schemas.openxmlformats.org/officeDocument/2006/relationships/hyperlink" Target="http://www.customs.gov.sg/~/media/cus/files/business/exporting%20goods/cert%20of%20origin/handbook%20on%20rules%20of%20origin%20for%20preferential%20certificates%20of%20origin%20ttsb%20apr%202016.pdf?la=en" TargetMode="External"/><Relationship Id="rId6" Type="http://schemas.openxmlformats.org/officeDocument/2006/relationships/hyperlink" Target="https://www.customs.gov.sg/-/media/cus/files/business/harmonized-system-classification-of-goods/resources/stcced/stcced-2018-24-july-2018.pdf?la=en&amp;hash=95E32CF8074D6C1C2A0CC7101119C4973FB2621A" TargetMode="External"/><Relationship Id="rId11" Type="http://schemas.openxmlformats.org/officeDocument/2006/relationships/ctrlProp" Target="../ctrlProps/ctrlProp1.xml"/><Relationship Id="rId5" Type="http://schemas.openxmlformats.org/officeDocument/2006/relationships/hyperlink" Target="https://www.customs.gov.sg/-/media/cus/files/business/exporting-goods/cert-of-origin/handbook-on-the-rules-of-origin-for-scheme-of-preferences-_feb_2016.pdf?la=en&amp;hash=AC6EF031B40EBCBA4752F66E74736167CC434643" TargetMode="External"/><Relationship Id="rId15" Type="http://schemas.openxmlformats.org/officeDocument/2006/relationships/ctrlProp" Target="../ctrlProps/ctrlProp5.xml"/><Relationship Id="rId10" Type="http://schemas.openxmlformats.org/officeDocument/2006/relationships/vmlDrawing" Target="../drawings/vmlDrawing1.vml"/><Relationship Id="rId19" Type="http://schemas.openxmlformats.org/officeDocument/2006/relationships/ctrlProp" Target="../ctrlProps/ctrlProp9.xml"/><Relationship Id="rId4" Type="http://schemas.openxmlformats.org/officeDocument/2006/relationships/hyperlink" Target="https://www.customs.gov.sg/-/media/cus/files/business/exporting-goods/cert-of-origin/handbook_on_roo_for_pco_jun_2019.pdf?la=en&amp;hash=C76B31CF8855879AD866E5AC0E98321B90D1590A" TargetMode="External"/><Relationship Id="rId9" Type="http://schemas.openxmlformats.org/officeDocument/2006/relationships/drawing" Target="../drawings/drawing1.xml"/><Relationship Id="rId14"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enterprisesg.gov.sg/non-financial-assistance/for-singapore-companies/free-trade-agreements/ftas/Singapore-ftas/AKFTA" TargetMode="External"/><Relationship Id="rId13" Type="http://schemas.openxmlformats.org/officeDocument/2006/relationships/hyperlink" Target="https://www.enterprisesg.gov.sg/non-financial-assistance/for-singapore-companies/free-trade-agreements/ftas/Singapore-ftas/JSEPA" TargetMode="External"/><Relationship Id="rId18" Type="http://schemas.openxmlformats.org/officeDocument/2006/relationships/hyperlink" Target="mailto:customs_mcs@customs.gov.sg" TargetMode="External"/><Relationship Id="rId26" Type="http://schemas.openxmlformats.org/officeDocument/2006/relationships/printerSettings" Target="../printerSettings/printerSettings2.bin"/><Relationship Id="rId3" Type="http://schemas.openxmlformats.org/officeDocument/2006/relationships/hyperlink" Target="https://www.enterprisesg.gov.sg/non-financial-assistance/for-singapore-companies/free-trade-agreements/ftas/overview" TargetMode="External"/><Relationship Id="rId21" Type="http://schemas.openxmlformats.org/officeDocument/2006/relationships/hyperlink" Target="https://www.enterprisesg.gov.sg/non-financial-assistance/for-singapore-companies/free-trade-agreements/ftas/overview" TargetMode="External"/><Relationship Id="rId7" Type="http://schemas.openxmlformats.org/officeDocument/2006/relationships/hyperlink" Target="https://www.enterprisesg.gov.sg/non-financial-assistance/for-singapore-companies/free-trade-agreements/ftas/Singapore-ftas/AJCEP" TargetMode="External"/><Relationship Id="rId12" Type="http://schemas.openxmlformats.org/officeDocument/2006/relationships/hyperlink" Target="https://www.enterprisesg.gov.sg/non-financial-assistance/for-singapore-companies/free-trade-agreements/ftas/Singapore-ftas/GSFTA" TargetMode="External"/><Relationship Id="rId17" Type="http://schemas.openxmlformats.org/officeDocument/2006/relationships/hyperlink" Target="https://www.enterprisesg.gov.sg/non-financial-assistance/for-singapore-companies/free-trade-agreements/ftas/Singapore-ftas/SLSFTA" TargetMode="External"/><Relationship Id="rId25" Type="http://schemas.openxmlformats.org/officeDocument/2006/relationships/hyperlink" Target="https://www.customs.gov.sg/-/media/cus/files/business/exporting-goods/cert-of-origin/handbook_on_roo_for_pco_jun_2019.pdf?la=en&amp;hash=C76B31CF8855879AD866E5AC0E98321B90D1590A" TargetMode="External"/><Relationship Id="rId2" Type="http://schemas.openxmlformats.org/officeDocument/2006/relationships/hyperlink" Target="http://www.iesingapore.gov.sg/Trade-From-Singapore/International-Agreements/free-trade-agreements/Singapore-FTA" TargetMode="External"/><Relationship Id="rId16" Type="http://schemas.openxmlformats.org/officeDocument/2006/relationships/hyperlink" Target="https://www.enterprisesg.gov.sg/non-financial-assistance/for-singapore-companies/free-trade-agreements/ftas/Singapore-ftas/SJFTA" TargetMode="External"/><Relationship Id="rId20" Type="http://schemas.openxmlformats.org/officeDocument/2006/relationships/hyperlink" Target="http://www.iesingapore.gov.sg/Trade-From-Singapore/International-Agreements/free-trade-agreements/Singapore-FTA" TargetMode="External"/><Relationship Id="rId1" Type="http://schemas.openxmlformats.org/officeDocument/2006/relationships/hyperlink" Target="http://www.iesingapore.gov.sg/Trade-From-Singapore/International-Agreements/free-trade-agreements/Singapore-FTA" TargetMode="External"/><Relationship Id="rId6" Type="http://schemas.openxmlformats.org/officeDocument/2006/relationships/hyperlink" Target="https://www.enterprisesg.gov.sg/non-financial-assistance/for-singapore-companies/free-trade-agreements/ftas/Singapore-ftas/AANZFTA" TargetMode="External"/><Relationship Id="rId11" Type="http://schemas.openxmlformats.org/officeDocument/2006/relationships/hyperlink" Target="https://www.enterprisesg.gov.sg/non-financial-assistance/for-singapore-companies/free-trade-agreements/ftas/Singapore-ftas/CECA" TargetMode="External"/><Relationship Id="rId24" Type="http://schemas.openxmlformats.org/officeDocument/2006/relationships/hyperlink" Target="https://www.customs.gov.sg/-/media/cus/files/business/exporting-goods/cert-of-origin/handbook_on_roo_for_pco_jun_2019.pdf?la=en&amp;hash=C76B31CF8855879AD866E5AC0E98321B90D1590A" TargetMode="External"/><Relationship Id="rId5" Type="http://schemas.openxmlformats.org/officeDocument/2006/relationships/hyperlink" Target="https://www.enterprisesg.gov.sg/non-financial-assistance/for-singapore-companies/free-trade-agreements/ftas/Singapore-ftas/ACFTA" TargetMode="External"/><Relationship Id="rId15" Type="http://schemas.openxmlformats.org/officeDocument/2006/relationships/hyperlink" Target="https://www.enterprisesg.gov.sg/non-financial-assistance/for-singapore-companies/free-trade-agreements/ftas/Singapore-ftas/PeSFTA" TargetMode="External"/><Relationship Id="rId23" Type="http://schemas.openxmlformats.org/officeDocument/2006/relationships/hyperlink" Target="https://www.enterprisesg.gov.sg/non-financial-assistance/for-singapore-companies/free-trade-agreements/ftas/singapore-ftas/ahkfta" TargetMode="External"/><Relationship Id="rId10" Type="http://schemas.openxmlformats.org/officeDocument/2006/relationships/hyperlink" Target="https://www.enterprisesg.gov.sg/non-financial-assistance/for-singapore-companies/free-trade-agreements/ftas/Singapore-ftas/CSFTA" TargetMode="External"/><Relationship Id="rId19" Type="http://schemas.openxmlformats.org/officeDocument/2006/relationships/hyperlink" Target="https://www.enterprisesg.gov.sg/non-financial-assistance/for-singapore-companies/free-trade-agreements/ftas/overview" TargetMode="External"/><Relationship Id="rId4" Type="http://schemas.openxmlformats.org/officeDocument/2006/relationships/hyperlink" Target="https://www.enterprisesg.gov.sg/non-financial-assistance/for-singapore-companies/free-trade-agreements/ftas/Singapore-ftas/AFTA" TargetMode="External"/><Relationship Id="rId9" Type="http://schemas.openxmlformats.org/officeDocument/2006/relationships/hyperlink" Target="https://www.enterprisesg.gov.sg/non-financial-assistance/for-singapore-companies/free-trade-agreements/ftas/Singapore-ftas/AIFTA" TargetMode="External"/><Relationship Id="rId14" Type="http://schemas.openxmlformats.org/officeDocument/2006/relationships/hyperlink" Target="https://www.enterprisesg.gov.sg/non-financial-assistance/for-singapore-companies/free-trade-agreements/ftas/Singapore-ftas/KSFTA" TargetMode="External"/><Relationship Id="rId22" Type="http://schemas.openxmlformats.org/officeDocument/2006/relationships/hyperlink" Target="https://www.customs.gov.sg/-/media/cus/files/eservices/customs-forms-and-service-links/certificate-of-origin-related-forms/sca006-manufacturers-application-ver-11--apr19.doc?la=en&amp;hash=8F05954A10A3F8FB3E48CD92EE509C3A0EFC8C2C"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39997558519241921"/>
  </sheetPr>
  <dimension ref="B2:V155"/>
  <sheetViews>
    <sheetView showGridLines="0" topLeftCell="A25" zoomScale="80" zoomScaleNormal="80" workbookViewId="0">
      <selection activeCell="C37" sqref="C37:U38"/>
    </sheetView>
  </sheetViews>
  <sheetFormatPr defaultRowHeight="14.5" x14ac:dyDescent="0.35"/>
  <cols>
    <col min="2" max="2" width="3" customWidth="1"/>
    <col min="3" max="19" width="7.54296875" customWidth="1"/>
    <col min="20" max="20" width="13.7265625" customWidth="1"/>
    <col min="21" max="21" width="7.54296875" customWidth="1"/>
  </cols>
  <sheetData>
    <row r="2" spans="2:22" ht="15.5" x14ac:dyDescent="0.35">
      <c r="B2" s="231" t="s">
        <v>67</v>
      </c>
      <c r="C2" s="232"/>
      <c r="D2" s="232"/>
      <c r="E2" s="232"/>
      <c r="F2" s="232"/>
      <c r="G2" s="232"/>
      <c r="H2" s="232"/>
      <c r="I2" s="232"/>
      <c r="J2" s="232"/>
      <c r="K2" s="232"/>
      <c r="L2" s="232"/>
      <c r="M2" s="232"/>
      <c r="N2" s="232"/>
      <c r="O2" s="232"/>
      <c r="P2" s="232"/>
      <c r="Q2" s="232"/>
      <c r="R2" s="232"/>
      <c r="S2" s="232"/>
      <c r="T2" s="232"/>
      <c r="U2" s="233"/>
    </row>
    <row r="3" spans="2:22" ht="15.5" x14ac:dyDescent="0.35">
      <c r="B3" s="28"/>
      <c r="C3" s="19"/>
      <c r="D3" s="19"/>
      <c r="E3" s="19"/>
      <c r="F3" s="19"/>
      <c r="G3" s="19"/>
      <c r="H3" s="19"/>
      <c r="I3" s="19"/>
      <c r="J3" s="19"/>
      <c r="K3" s="19"/>
      <c r="L3" s="19"/>
      <c r="M3" s="19"/>
      <c r="N3" s="19"/>
      <c r="O3" s="19"/>
      <c r="P3" s="19"/>
      <c r="Q3" s="19"/>
      <c r="R3" s="19"/>
      <c r="S3" s="19"/>
      <c r="T3" s="19"/>
      <c r="U3" s="29"/>
    </row>
    <row r="4" spans="2:22" ht="15.75" customHeight="1" x14ac:dyDescent="0.35">
      <c r="B4" s="234" t="s">
        <v>188</v>
      </c>
      <c r="C4" s="235"/>
      <c r="D4" s="235"/>
      <c r="E4" s="235"/>
      <c r="F4" s="235"/>
      <c r="G4" s="235"/>
      <c r="H4" s="235"/>
      <c r="I4" s="235"/>
      <c r="J4" s="235"/>
      <c r="K4" s="235"/>
      <c r="L4" s="235"/>
      <c r="M4" s="235"/>
      <c r="N4" s="235"/>
      <c r="O4" s="235"/>
      <c r="P4" s="235"/>
      <c r="Q4" s="235"/>
      <c r="R4" s="235"/>
      <c r="S4" s="235"/>
      <c r="T4" s="235"/>
      <c r="U4" s="236"/>
    </row>
    <row r="5" spans="2:22" ht="15.75" customHeight="1" x14ac:dyDescent="0.35">
      <c r="B5" s="234" t="s">
        <v>189</v>
      </c>
      <c r="C5" s="235"/>
      <c r="D5" s="235"/>
      <c r="E5" s="235"/>
      <c r="F5" s="235"/>
      <c r="G5" s="235"/>
      <c r="H5" s="235"/>
      <c r="I5" s="235"/>
      <c r="J5" s="235"/>
      <c r="K5" s="235"/>
      <c r="L5" s="235"/>
      <c r="M5" s="235"/>
      <c r="N5" s="235"/>
      <c r="O5" s="235"/>
      <c r="P5" s="235"/>
      <c r="Q5" s="235"/>
      <c r="R5" s="235"/>
      <c r="S5" s="235"/>
      <c r="T5" s="235"/>
      <c r="U5" s="236"/>
    </row>
    <row r="6" spans="2:22" ht="15.5" x14ac:dyDescent="0.35">
      <c r="B6" s="30"/>
      <c r="C6" s="52"/>
      <c r="D6" s="5"/>
      <c r="E6" s="5"/>
      <c r="F6" s="5"/>
      <c r="G6" s="5"/>
      <c r="H6" s="5"/>
      <c r="I6" s="5"/>
      <c r="J6" s="5"/>
      <c r="K6" s="5"/>
      <c r="L6" s="5"/>
      <c r="M6" s="5"/>
      <c r="N6" s="5"/>
      <c r="O6" s="5"/>
      <c r="P6" s="5"/>
      <c r="Q6" s="5"/>
      <c r="R6" s="5"/>
      <c r="S6" s="5"/>
      <c r="T6" s="5"/>
      <c r="U6" s="11"/>
    </row>
    <row r="7" spans="2:22" ht="15.75" customHeight="1" x14ac:dyDescent="0.35">
      <c r="B7" s="30"/>
      <c r="C7" s="42" t="s">
        <v>97</v>
      </c>
      <c r="D7" s="237" t="s">
        <v>219</v>
      </c>
      <c r="E7" s="237"/>
      <c r="F7" s="237"/>
      <c r="G7" s="237"/>
      <c r="H7" s="237"/>
      <c r="I7" s="237"/>
      <c r="J7" s="237"/>
      <c r="K7" s="237"/>
      <c r="L7" s="237"/>
      <c r="M7" s="237"/>
      <c r="N7" s="237"/>
      <c r="O7" s="237"/>
      <c r="P7" s="237"/>
      <c r="Q7" s="54"/>
      <c r="R7" s="63"/>
      <c r="S7" s="63"/>
      <c r="T7" s="63"/>
      <c r="U7" s="11"/>
    </row>
    <row r="8" spans="2:22" ht="15.5" x14ac:dyDescent="0.35">
      <c r="B8" s="30"/>
      <c r="C8" s="63"/>
      <c r="D8" s="63"/>
      <c r="E8" s="63"/>
      <c r="F8" s="63"/>
      <c r="G8" s="63"/>
      <c r="H8" s="63"/>
      <c r="I8" s="63"/>
      <c r="J8" s="63"/>
      <c r="K8" s="63"/>
      <c r="L8" s="63"/>
      <c r="M8" s="63"/>
      <c r="N8" s="63"/>
      <c r="O8" s="63"/>
      <c r="P8" s="63"/>
      <c r="Q8" s="63"/>
      <c r="R8" s="63"/>
      <c r="S8" s="63"/>
      <c r="T8" s="63"/>
      <c r="U8" s="11"/>
    </row>
    <row r="9" spans="2:22" ht="15.5" x14ac:dyDescent="0.35">
      <c r="B9" s="30"/>
      <c r="C9" s="42" t="s">
        <v>98</v>
      </c>
      <c r="D9" s="237" t="s">
        <v>220</v>
      </c>
      <c r="E9" s="237"/>
      <c r="F9" s="237"/>
      <c r="G9" s="237"/>
      <c r="H9" s="237"/>
      <c r="I9" s="237"/>
      <c r="J9" s="237"/>
      <c r="K9" s="237"/>
      <c r="L9" s="237"/>
      <c r="M9" s="237"/>
      <c r="N9" s="237"/>
      <c r="O9" s="54"/>
      <c r="P9" s="44"/>
      <c r="Q9" s="63"/>
      <c r="R9" s="63"/>
      <c r="S9" s="63"/>
      <c r="T9" s="63"/>
      <c r="U9" s="11"/>
    </row>
    <row r="10" spans="2:22" ht="15.5" x14ac:dyDescent="0.35">
      <c r="B10" s="30"/>
      <c r="C10" s="42"/>
      <c r="D10" s="63"/>
      <c r="E10" s="63"/>
      <c r="F10" s="63"/>
      <c r="G10" s="63"/>
      <c r="H10" s="63"/>
      <c r="I10" s="63"/>
      <c r="J10" s="63"/>
      <c r="K10" s="63"/>
      <c r="L10" s="63"/>
      <c r="M10" s="63"/>
      <c r="N10" s="63"/>
      <c r="O10" s="63"/>
      <c r="P10" s="63"/>
      <c r="Q10" s="63"/>
      <c r="R10" s="63"/>
      <c r="S10" s="63"/>
      <c r="T10" s="63"/>
      <c r="U10" s="11"/>
    </row>
    <row r="11" spans="2:22" ht="15.5" x14ac:dyDescent="0.35">
      <c r="B11" s="30"/>
      <c r="C11" s="42" t="s">
        <v>99</v>
      </c>
      <c r="D11" s="245" t="s">
        <v>221</v>
      </c>
      <c r="E11" s="245"/>
      <c r="F11" s="245"/>
      <c r="G11" s="245"/>
      <c r="H11" s="245"/>
      <c r="I11" s="245"/>
      <c r="J11" s="245"/>
      <c r="K11" s="245"/>
      <c r="L11" s="245"/>
      <c r="M11" s="245"/>
      <c r="N11" s="245"/>
      <c r="O11" s="245"/>
      <c r="P11" s="17"/>
      <c r="Q11" s="17"/>
      <c r="R11" s="161"/>
      <c r="S11" s="63"/>
      <c r="T11" s="63"/>
      <c r="U11" s="11"/>
    </row>
    <row r="12" spans="2:22" ht="15.5" x14ac:dyDescent="0.35">
      <c r="B12" s="30"/>
      <c r="C12" s="42"/>
      <c r="D12" s="63"/>
      <c r="E12" s="63"/>
      <c r="F12" s="63"/>
      <c r="G12" s="63"/>
      <c r="H12" s="63"/>
      <c r="I12" s="63"/>
      <c r="J12" s="63"/>
      <c r="K12" s="63"/>
      <c r="L12" s="63"/>
      <c r="M12" s="63"/>
      <c r="N12" s="63"/>
      <c r="O12" s="63"/>
      <c r="P12" s="63"/>
      <c r="Q12" s="63"/>
      <c r="R12" s="63"/>
      <c r="S12" s="63"/>
      <c r="T12" s="63"/>
      <c r="U12" s="11"/>
    </row>
    <row r="13" spans="2:22" ht="15.75" customHeight="1" x14ac:dyDescent="0.35">
      <c r="B13" s="30"/>
      <c r="C13" s="42" t="s">
        <v>100</v>
      </c>
      <c r="D13" s="237" t="s">
        <v>222</v>
      </c>
      <c r="E13" s="237"/>
      <c r="F13" s="237"/>
      <c r="G13" s="237"/>
      <c r="H13" s="237"/>
      <c r="I13" s="237"/>
      <c r="J13" s="237"/>
      <c r="K13" s="237"/>
      <c r="L13" s="237"/>
      <c r="M13" s="237"/>
      <c r="N13" s="237"/>
      <c r="O13" s="237"/>
      <c r="P13" s="237"/>
      <c r="Q13" s="237"/>
      <c r="R13" s="216"/>
      <c r="S13" s="64"/>
      <c r="T13" s="64"/>
      <c r="U13" s="43"/>
      <c r="V13" s="59"/>
    </row>
    <row r="14" spans="2:22" ht="15.5" x14ac:dyDescent="0.35">
      <c r="B14" s="30"/>
      <c r="C14" s="42"/>
      <c r="D14" s="63"/>
      <c r="E14" s="63"/>
      <c r="F14" s="63"/>
      <c r="G14" s="63"/>
      <c r="H14" s="63"/>
      <c r="I14" s="63"/>
      <c r="J14" s="63"/>
      <c r="K14" s="63"/>
      <c r="L14" s="63"/>
      <c r="M14" s="63"/>
      <c r="N14" s="63"/>
      <c r="O14" s="63"/>
      <c r="P14" s="63"/>
      <c r="Q14" s="63"/>
      <c r="R14" s="63"/>
      <c r="S14" s="63"/>
      <c r="T14" s="63"/>
      <c r="U14" s="11"/>
    </row>
    <row r="15" spans="2:22" ht="15.5" x14ac:dyDescent="0.35">
      <c r="B15" s="30"/>
      <c r="C15" s="42" t="s">
        <v>101</v>
      </c>
      <c r="D15" s="237" t="s">
        <v>223</v>
      </c>
      <c r="E15" s="237"/>
      <c r="F15" s="237"/>
      <c r="G15" s="237"/>
      <c r="H15" s="237"/>
      <c r="I15" s="237"/>
      <c r="J15" s="237"/>
      <c r="K15" s="237"/>
      <c r="L15" s="237"/>
      <c r="M15" s="54"/>
      <c r="N15" s="63"/>
      <c r="O15" s="63"/>
      <c r="P15" s="2"/>
      <c r="Q15" s="63"/>
      <c r="R15" s="63"/>
      <c r="S15" s="43"/>
      <c r="T15" s="63"/>
      <c r="U15" s="11"/>
    </row>
    <row r="16" spans="2:22" ht="15.5" x14ac:dyDescent="0.35">
      <c r="B16" s="30"/>
      <c r="C16" s="42"/>
      <c r="D16" s="63"/>
      <c r="E16" s="63"/>
      <c r="F16" s="63"/>
      <c r="G16" s="63"/>
      <c r="H16" s="63"/>
      <c r="I16" s="63"/>
      <c r="J16" s="63"/>
      <c r="K16" s="63"/>
      <c r="L16" s="63"/>
      <c r="M16" s="63"/>
      <c r="N16" s="63"/>
      <c r="O16" s="63"/>
      <c r="P16" s="63"/>
      <c r="Q16" s="63"/>
      <c r="R16" s="63"/>
      <c r="S16" s="63"/>
      <c r="T16" s="63"/>
      <c r="U16" s="11"/>
    </row>
    <row r="17" spans="2:21" ht="15.5" x14ac:dyDescent="0.35">
      <c r="B17" s="31"/>
      <c r="C17" s="48" t="s">
        <v>102</v>
      </c>
      <c r="D17" s="237" t="s">
        <v>224</v>
      </c>
      <c r="E17" s="237"/>
      <c r="F17" s="237"/>
      <c r="G17" s="237"/>
      <c r="H17" s="237"/>
      <c r="I17" s="237"/>
      <c r="J17" s="237"/>
      <c r="K17" s="237"/>
      <c r="L17" s="237"/>
      <c r="M17" s="237"/>
      <c r="N17" s="237"/>
      <c r="O17" s="43"/>
      <c r="P17" s="45"/>
      <c r="Q17" s="45"/>
      <c r="R17" s="45"/>
      <c r="S17" s="45"/>
      <c r="T17" s="45"/>
      <c r="U17" s="32"/>
    </row>
    <row r="18" spans="2:21" ht="15.5" x14ac:dyDescent="0.35">
      <c r="B18" s="31"/>
      <c r="C18" s="48"/>
      <c r="D18" s="60"/>
      <c r="E18" s="60"/>
      <c r="F18" s="60"/>
      <c r="G18" s="60"/>
      <c r="H18" s="60"/>
      <c r="I18" s="60"/>
      <c r="J18" s="60"/>
      <c r="K18" s="60"/>
      <c r="L18" s="60"/>
      <c r="M18" s="60"/>
      <c r="N18" s="60"/>
      <c r="O18" s="43"/>
      <c r="P18" s="45"/>
      <c r="Q18" s="45"/>
      <c r="R18" s="45"/>
      <c r="S18" s="45"/>
      <c r="T18" s="45"/>
      <c r="U18" s="32"/>
    </row>
    <row r="19" spans="2:21" ht="15.75" customHeight="1" x14ac:dyDescent="0.35">
      <c r="B19" s="30"/>
      <c r="C19" s="49" t="s">
        <v>103</v>
      </c>
      <c r="D19" s="242" t="s">
        <v>225</v>
      </c>
      <c r="E19" s="245"/>
      <c r="F19" s="245"/>
      <c r="G19" s="245"/>
      <c r="H19" s="245"/>
      <c r="I19" s="245"/>
      <c r="J19" s="245"/>
      <c r="K19" s="245"/>
      <c r="L19" s="245"/>
      <c r="M19" s="245"/>
      <c r="N19" s="245"/>
      <c r="O19" s="245"/>
      <c r="P19" s="245"/>
      <c r="Q19" s="245"/>
      <c r="R19" s="245"/>
      <c r="S19" s="245"/>
      <c r="T19" s="245"/>
      <c r="U19" s="50"/>
    </row>
    <row r="20" spans="2:21" ht="15.75" customHeight="1" x14ac:dyDescent="0.35">
      <c r="B20" s="30"/>
      <c r="C20" s="49"/>
      <c r="D20" s="245"/>
      <c r="E20" s="245"/>
      <c r="F20" s="245"/>
      <c r="G20" s="245"/>
      <c r="H20" s="245"/>
      <c r="I20" s="245"/>
      <c r="J20" s="245"/>
      <c r="K20" s="245"/>
      <c r="L20" s="245"/>
      <c r="M20" s="245"/>
      <c r="N20" s="245"/>
      <c r="O20" s="245"/>
      <c r="P20" s="245"/>
      <c r="Q20" s="245"/>
      <c r="R20" s="245"/>
      <c r="S20" s="245"/>
      <c r="T20" s="245"/>
      <c r="U20" s="50"/>
    </row>
    <row r="21" spans="2:21" ht="15.5" x14ac:dyDescent="0.35">
      <c r="B21" s="31"/>
      <c r="C21" s="48"/>
      <c r="D21" s="60"/>
      <c r="E21" s="46"/>
      <c r="F21" s="46"/>
      <c r="G21" s="46"/>
      <c r="H21" s="46"/>
      <c r="I21" s="46"/>
      <c r="J21" s="45"/>
      <c r="K21" s="45"/>
      <c r="L21" s="45"/>
      <c r="M21" s="45"/>
      <c r="N21" s="45"/>
      <c r="O21" s="45"/>
      <c r="P21" s="45"/>
      <c r="Q21" s="45"/>
      <c r="R21" s="45"/>
      <c r="S21" s="45"/>
      <c r="T21" s="45"/>
      <c r="U21" s="32"/>
    </row>
    <row r="22" spans="2:21" ht="15.5" x14ac:dyDescent="0.35">
      <c r="B22" s="31"/>
      <c r="C22" s="42" t="s">
        <v>104</v>
      </c>
      <c r="D22" s="241" t="s">
        <v>226</v>
      </c>
      <c r="E22" s="241"/>
      <c r="F22" s="241"/>
      <c r="G22" s="241"/>
      <c r="H22" s="241"/>
      <c r="I22" s="241"/>
      <c r="J22" s="241"/>
      <c r="K22" s="241"/>
      <c r="L22" s="241"/>
      <c r="M22" s="241"/>
      <c r="N22" s="241"/>
      <c r="O22" s="241"/>
      <c r="P22" s="241"/>
      <c r="Q22" s="241"/>
      <c r="R22" s="241"/>
      <c r="S22" s="241"/>
      <c r="T22" s="241"/>
      <c r="U22" s="58"/>
    </row>
    <row r="23" spans="2:21" ht="15.5" x14ac:dyDescent="0.35">
      <c r="B23" s="31"/>
      <c r="C23" s="42"/>
      <c r="D23" s="241"/>
      <c r="E23" s="241"/>
      <c r="F23" s="241"/>
      <c r="G23" s="241"/>
      <c r="H23" s="241"/>
      <c r="I23" s="241"/>
      <c r="J23" s="241"/>
      <c r="K23" s="241"/>
      <c r="L23" s="241"/>
      <c r="M23" s="241"/>
      <c r="N23" s="241"/>
      <c r="O23" s="241"/>
      <c r="P23" s="241"/>
      <c r="Q23" s="241"/>
      <c r="R23" s="241"/>
      <c r="S23" s="241"/>
      <c r="T23" s="241"/>
      <c r="U23" s="57"/>
    </row>
    <row r="24" spans="2:21" ht="15.5" x14ac:dyDescent="0.35">
      <c r="B24" s="31"/>
      <c r="C24" s="49"/>
      <c r="D24" s="46"/>
      <c r="E24" s="53"/>
      <c r="F24" s="53"/>
      <c r="G24" s="53"/>
      <c r="H24" s="53"/>
      <c r="I24" s="53"/>
      <c r="J24" s="47"/>
      <c r="K24" s="47"/>
      <c r="L24" s="47"/>
      <c r="M24" s="47"/>
      <c r="N24" s="47"/>
      <c r="O24" s="47"/>
      <c r="P24" s="47"/>
      <c r="Q24" s="47"/>
      <c r="R24" s="47"/>
      <c r="S24" s="47"/>
      <c r="T24" s="47"/>
      <c r="U24" s="33"/>
    </row>
    <row r="25" spans="2:21" ht="15.5" x14ac:dyDescent="0.35">
      <c r="B25" s="30"/>
      <c r="C25" s="42" t="s">
        <v>105</v>
      </c>
      <c r="D25" s="242" t="s">
        <v>227</v>
      </c>
      <c r="E25" s="242"/>
      <c r="F25" s="242"/>
      <c r="G25" s="242"/>
      <c r="H25" s="242"/>
      <c r="I25" s="242"/>
      <c r="J25" s="242"/>
      <c r="K25" s="242"/>
      <c r="L25" s="242"/>
      <c r="M25" s="242"/>
      <c r="N25" s="242"/>
      <c r="O25" s="242"/>
      <c r="P25" s="242"/>
      <c r="Q25" s="242"/>
      <c r="R25" s="242"/>
      <c r="S25" s="242"/>
      <c r="T25" s="242"/>
      <c r="U25" s="34"/>
    </row>
    <row r="26" spans="2:21" ht="15.5" x14ac:dyDescent="0.35">
      <c r="B26" s="30"/>
      <c r="C26" s="60"/>
      <c r="D26" s="242"/>
      <c r="E26" s="242"/>
      <c r="F26" s="242"/>
      <c r="G26" s="242"/>
      <c r="H26" s="242"/>
      <c r="I26" s="242"/>
      <c r="J26" s="242"/>
      <c r="K26" s="242"/>
      <c r="L26" s="242"/>
      <c r="M26" s="242"/>
      <c r="N26" s="242"/>
      <c r="O26" s="242"/>
      <c r="P26" s="242"/>
      <c r="Q26" s="242"/>
      <c r="R26" s="242"/>
      <c r="S26" s="242"/>
      <c r="T26" s="242"/>
      <c r="U26" s="34"/>
    </row>
    <row r="27" spans="2:21" ht="15.5" x14ac:dyDescent="0.35">
      <c r="B27" s="30"/>
      <c r="C27" s="5"/>
      <c r="D27" s="242"/>
      <c r="E27" s="242"/>
      <c r="F27" s="242"/>
      <c r="G27" s="242"/>
      <c r="H27" s="242"/>
      <c r="I27" s="242"/>
      <c r="J27" s="242"/>
      <c r="K27" s="242"/>
      <c r="L27" s="242"/>
      <c r="M27" s="242"/>
      <c r="N27" s="242"/>
      <c r="O27" s="242"/>
      <c r="P27" s="242"/>
      <c r="Q27" s="242"/>
      <c r="R27" s="242"/>
      <c r="S27" s="242"/>
      <c r="T27" s="242"/>
      <c r="U27" s="11"/>
    </row>
    <row r="28" spans="2:21" ht="15.5" x14ac:dyDescent="0.35">
      <c r="B28" s="35"/>
      <c r="C28" s="22"/>
      <c r="D28" s="23"/>
      <c r="E28" s="24"/>
      <c r="F28" s="24"/>
      <c r="G28" s="24"/>
      <c r="H28" s="24"/>
      <c r="I28" s="24"/>
      <c r="J28" s="25"/>
      <c r="K28" s="25"/>
      <c r="L28" s="25"/>
      <c r="M28" s="25"/>
      <c r="N28" s="25"/>
      <c r="O28" s="25"/>
      <c r="P28" s="25"/>
      <c r="Q28" s="25"/>
      <c r="R28" s="25"/>
      <c r="S28" s="25"/>
      <c r="T28" s="25"/>
      <c r="U28" s="26"/>
    </row>
    <row r="29" spans="2:21" ht="15.5" x14ac:dyDescent="0.35">
      <c r="B29" s="27"/>
      <c r="C29" s="52"/>
      <c r="D29" s="20"/>
      <c r="E29" s="20"/>
      <c r="F29" s="20"/>
      <c r="G29" s="20"/>
      <c r="H29" s="20"/>
      <c r="I29" s="20"/>
      <c r="J29" s="21"/>
      <c r="K29" s="21"/>
      <c r="L29" s="21"/>
      <c r="M29" s="21"/>
      <c r="N29" s="21"/>
      <c r="O29" s="21"/>
      <c r="P29" s="21"/>
      <c r="Q29" s="21"/>
      <c r="R29" s="21"/>
      <c r="S29" s="21"/>
      <c r="T29" s="21"/>
      <c r="U29" s="21"/>
    </row>
    <row r="30" spans="2:21" ht="15.5" x14ac:dyDescent="0.35">
      <c r="B30" s="27"/>
      <c r="C30" s="52"/>
      <c r="D30" s="20"/>
      <c r="E30" s="20"/>
      <c r="F30" s="20"/>
      <c r="G30" s="20"/>
      <c r="H30" s="20"/>
      <c r="I30" s="20"/>
      <c r="J30" s="21"/>
      <c r="K30" s="21"/>
      <c r="L30" s="21"/>
      <c r="M30" s="21"/>
      <c r="N30" s="21"/>
      <c r="O30" s="21"/>
      <c r="P30" s="21"/>
      <c r="Q30" s="21"/>
      <c r="R30" s="21"/>
      <c r="S30" s="21"/>
      <c r="T30" s="21"/>
      <c r="U30" s="21"/>
    </row>
    <row r="31" spans="2:21" ht="15.5" x14ac:dyDescent="0.35">
      <c r="B31" s="244" t="s">
        <v>68</v>
      </c>
      <c r="C31" s="244"/>
      <c r="D31" s="244"/>
      <c r="E31" s="244"/>
      <c r="F31" s="244"/>
      <c r="G31" s="244"/>
      <c r="H31" s="244"/>
      <c r="I31" s="244"/>
      <c r="J31" s="244"/>
      <c r="K31" s="244"/>
      <c r="L31" s="244"/>
      <c r="M31" s="244"/>
      <c r="N31" s="244"/>
      <c r="O31" s="244"/>
      <c r="P31" s="244"/>
      <c r="Q31" s="244"/>
      <c r="R31" s="244"/>
      <c r="S31" s="244"/>
      <c r="T31" s="244"/>
      <c r="U31" s="244"/>
    </row>
    <row r="32" spans="2:21" ht="15.75" customHeight="1" x14ac:dyDescent="0.35">
      <c r="B32" s="30"/>
      <c r="C32" s="18"/>
      <c r="D32" s="5"/>
      <c r="E32" s="17"/>
      <c r="F32" s="17"/>
      <c r="G32" s="17"/>
      <c r="H32" s="17"/>
      <c r="I32" s="17"/>
      <c r="J32" s="17"/>
      <c r="K32" s="17"/>
      <c r="L32" s="17"/>
      <c r="M32" s="17"/>
      <c r="N32" s="17"/>
      <c r="O32" s="17"/>
      <c r="P32" s="17"/>
      <c r="Q32" s="17"/>
      <c r="R32" s="17"/>
      <c r="S32" s="17"/>
      <c r="T32" s="17"/>
      <c r="U32" s="36"/>
    </row>
    <row r="33" spans="2:21" ht="15.75" customHeight="1" x14ac:dyDescent="0.35">
      <c r="B33" s="37" t="s">
        <v>54</v>
      </c>
      <c r="C33" s="242" t="s">
        <v>197</v>
      </c>
      <c r="D33" s="242"/>
      <c r="E33" s="242"/>
      <c r="F33" s="242"/>
      <c r="G33" s="242"/>
      <c r="H33" s="242"/>
      <c r="I33" s="242"/>
      <c r="J33" s="242"/>
      <c r="K33" s="242"/>
      <c r="L33" s="242"/>
      <c r="M33" s="242"/>
      <c r="N33" s="242"/>
      <c r="O33" s="242"/>
      <c r="P33" s="242"/>
      <c r="Q33" s="242"/>
      <c r="R33" s="242"/>
      <c r="S33" s="242"/>
      <c r="T33" s="242"/>
      <c r="U33" s="243"/>
    </row>
    <row r="34" spans="2:21" ht="15.5" x14ac:dyDescent="0.35">
      <c r="B34" s="37"/>
      <c r="C34" s="242"/>
      <c r="D34" s="242"/>
      <c r="E34" s="242"/>
      <c r="F34" s="242"/>
      <c r="G34" s="242"/>
      <c r="H34" s="242"/>
      <c r="I34" s="242"/>
      <c r="J34" s="242"/>
      <c r="K34" s="242"/>
      <c r="L34" s="242"/>
      <c r="M34" s="242"/>
      <c r="N34" s="242"/>
      <c r="O34" s="242"/>
      <c r="P34" s="242"/>
      <c r="Q34" s="242"/>
      <c r="R34" s="242"/>
      <c r="S34" s="242"/>
      <c r="T34" s="242"/>
      <c r="U34" s="243"/>
    </row>
    <row r="35" spans="2:21" ht="15.5" x14ac:dyDescent="0.35">
      <c r="B35" s="37"/>
      <c r="C35" s="242"/>
      <c r="D35" s="242"/>
      <c r="E35" s="242"/>
      <c r="F35" s="242"/>
      <c r="G35" s="242"/>
      <c r="H35" s="242"/>
      <c r="I35" s="242"/>
      <c r="J35" s="242"/>
      <c r="K35" s="242"/>
      <c r="L35" s="242"/>
      <c r="M35" s="242"/>
      <c r="N35" s="242"/>
      <c r="O35" s="242"/>
      <c r="P35" s="242"/>
      <c r="Q35" s="242"/>
      <c r="R35" s="242"/>
      <c r="S35" s="242"/>
      <c r="T35" s="242"/>
      <c r="U35" s="243"/>
    </row>
    <row r="36" spans="2:21" ht="15.5" x14ac:dyDescent="0.35">
      <c r="B36" s="30"/>
      <c r="C36" s="5"/>
      <c r="D36" s="17"/>
      <c r="E36" s="17"/>
      <c r="F36" s="17"/>
      <c r="G36" s="17"/>
      <c r="H36" s="17"/>
      <c r="I36" s="17"/>
      <c r="J36" s="17"/>
      <c r="K36" s="17"/>
      <c r="L36" s="17"/>
      <c r="M36" s="17"/>
      <c r="N36" s="17"/>
      <c r="O36" s="17"/>
      <c r="P36" s="17"/>
      <c r="Q36" s="17"/>
      <c r="R36" s="17"/>
      <c r="S36" s="17"/>
      <c r="T36" s="17"/>
      <c r="U36" s="36"/>
    </row>
    <row r="37" spans="2:21" ht="15.75" customHeight="1" x14ac:dyDescent="0.35">
      <c r="B37" s="37" t="s">
        <v>53</v>
      </c>
      <c r="C37" s="249" t="s">
        <v>243</v>
      </c>
      <c r="D37" s="249"/>
      <c r="E37" s="249"/>
      <c r="F37" s="249"/>
      <c r="G37" s="249"/>
      <c r="H37" s="249"/>
      <c r="I37" s="249"/>
      <c r="J37" s="249"/>
      <c r="K37" s="249"/>
      <c r="L37" s="249"/>
      <c r="M37" s="249"/>
      <c r="N37" s="249"/>
      <c r="O37" s="249"/>
      <c r="P37" s="249"/>
      <c r="Q37" s="249"/>
      <c r="R37" s="249"/>
      <c r="S37" s="249"/>
      <c r="T37" s="249"/>
      <c r="U37" s="250"/>
    </row>
    <row r="38" spans="2:21" ht="15.5" x14ac:dyDescent="0.35">
      <c r="B38" s="37"/>
      <c r="C38" s="249"/>
      <c r="D38" s="249"/>
      <c r="E38" s="249"/>
      <c r="F38" s="249"/>
      <c r="G38" s="249"/>
      <c r="H38" s="249"/>
      <c r="I38" s="249"/>
      <c r="J38" s="249"/>
      <c r="K38" s="249"/>
      <c r="L38" s="249"/>
      <c r="M38" s="249"/>
      <c r="N38" s="249"/>
      <c r="O38" s="249"/>
      <c r="P38" s="249"/>
      <c r="Q38" s="249"/>
      <c r="R38" s="249"/>
      <c r="S38" s="249"/>
      <c r="T38" s="249"/>
      <c r="U38" s="250"/>
    </row>
    <row r="39" spans="2:21" ht="15.5" x14ac:dyDescent="0.35">
      <c r="B39" s="30"/>
      <c r="C39" s="5"/>
      <c r="D39" s="5"/>
      <c r="E39" s="5"/>
      <c r="F39" s="5"/>
      <c r="G39" s="5"/>
      <c r="H39" s="5"/>
      <c r="I39" s="5"/>
      <c r="J39" s="5"/>
      <c r="K39" s="5"/>
      <c r="L39" s="5"/>
      <c r="M39" s="5"/>
      <c r="N39" s="5"/>
      <c r="O39" s="5"/>
      <c r="P39" s="5"/>
      <c r="Q39" s="5"/>
      <c r="R39" s="5"/>
      <c r="S39" s="5"/>
      <c r="T39" s="5"/>
      <c r="U39" s="11"/>
    </row>
    <row r="40" spans="2:21" ht="15.5" x14ac:dyDescent="0.35">
      <c r="B40" s="37" t="s">
        <v>69</v>
      </c>
      <c r="C40" s="241" t="s">
        <v>198</v>
      </c>
      <c r="D40" s="242"/>
      <c r="E40" s="242"/>
      <c r="F40" s="242"/>
      <c r="G40" s="242"/>
      <c r="H40" s="242"/>
      <c r="I40" s="242"/>
      <c r="J40" s="242"/>
      <c r="K40" s="242"/>
      <c r="L40" s="242"/>
      <c r="M40" s="242"/>
      <c r="N40" s="242"/>
      <c r="O40" s="242"/>
      <c r="P40" s="242"/>
      <c r="Q40" s="242"/>
      <c r="R40" s="242"/>
      <c r="S40" s="242"/>
      <c r="T40" s="242"/>
      <c r="U40" s="243"/>
    </row>
    <row r="41" spans="2:21" ht="15.5" x14ac:dyDescent="0.35">
      <c r="B41" s="30"/>
      <c r="C41" s="242"/>
      <c r="D41" s="242"/>
      <c r="E41" s="242"/>
      <c r="F41" s="242"/>
      <c r="G41" s="242"/>
      <c r="H41" s="242"/>
      <c r="I41" s="242"/>
      <c r="J41" s="242"/>
      <c r="K41" s="242"/>
      <c r="L41" s="242"/>
      <c r="M41" s="242"/>
      <c r="N41" s="242"/>
      <c r="O41" s="242"/>
      <c r="P41" s="242"/>
      <c r="Q41" s="242"/>
      <c r="R41" s="242"/>
      <c r="S41" s="242"/>
      <c r="T41" s="242"/>
      <c r="U41" s="243"/>
    </row>
    <row r="42" spans="2:21" ht="15.5" x14ac:dyDescent="0.35">
      <c r="B42" s="30"/>
      <c r="C42" s="5"/>
      <c r="D42" s="5"/>
      <c r="E42" s="5"/>
      <c r="F42" s="5"/>
      <c r="G42" s="5"/>
      <c r="H42" s="5"/>
      <c r="I42" s="5"/>
      <c r="J42" s="5"/>
      <c r="K42" s="5"/>
      <c r="L42" s="5"/>
      <c r="M42" s="5"/>
      <c r="N42" s="5"/>
      <c r="O42" s="5"/>
      <c r="P42" s="5"/>
      <c r="Q42" s="5"/>
      <c r="R42" s="5"/>
      <c r="S42" s="5"/>
      <c r="T42" s="5"/>
      <c r="U42" s="11"/>
    </row>
    <row r="43" spans="2:21" ht="15.5" x14ac:dyDescent="0.35">
      <c r="B43" s="37" t="s">
        <v>55</v>
      </c>
      <c r="C43" s="241" t="s">
        <v>141</v>
      </c>
      <c r="D43" s="242"/>
      <c r="E43" s="242"/>
      <c r="F43" s="242"/>
      <c r="G43" s="242"/>
      <c r="H43" s="242"/>
      <c r="I43" s="242"/>
      <c r="J43" s="242"/>
      <c r="K43" s="242"/>
      <c r="L43" s="242"/>
      <c r="M43" s="242"/>
      <c r="N43" s="242"/>
      <c r="O43" s="242"/>
      <c r="P43" s="242"/>
      <c r="Q43" s="242"/>
      <c r="R43" s="242"/>
      <c r="S43" s="242"/>
      <c r="T43" s="242"/>
      <c r="U43" s="243"/>
    </row>
    <row r="44" spans="2:21" ht="15.5" x14ac:dyDescent="0.35">
      <c r="B44" s="30"/>
      <c r="C44" s="242"/>
      <c r="D44" s="242"/>
      <c r="E44" s="242"/>
      <c r="F44" s="242"/>
      <c r="G44" s="242"/>
      <c r="H44" s="242"/>
      <c r="I44" s="242"/>
      <c r="J44" s="242"/>
      <c r="K44" s="242"/>
      <c r="L44" s="242"/>
      <c r="M44" s="242"/>
      <c r="N44" s="242"/>
      <c r="O44" s="242"/>
      <c r="P44" s="242"/>
      <c r="Q44" s="242"/>
      <c r="R44" s="242"/>
      <c r="S44" s="242"/>
      <c r="T44" s="242"/>
      <c r="U44" s="243"/>
    </row>
    <row r="45" spans="2:21" ht="15.5" x14ac:dyDescent="0.35">
      <c r="B45" s="35"/>
      <c r="C45" s="13"/>
      <c r="D45" s="13"/>
      <c r="E45" s="13"/>
      <c r="F45" s="13"/>
      <c r="G45" s="13"/>
      <c r="H45" s="13"/>
      <c r="I45" s="13"/>
      <c r="J45" s="13"/>
      <c r="K45" s="13"/>
      <c r="L45" s="13"/>
      <c r="M45" s="13"/>
      <c r="N45" s="13"/>
      <c r="O45" s="13"/>
      <c r="P45" s="38"/>
      <c r="Q45" s="38"/>
      <c r="R45" s="13"/>
      <c r="S45" s="13"/>
      <c r="T45" s="13"/>
      <c r="U45" s="14"/>
    </row>
    <row r="46" spans="2:21" ht="15.5" x14ac:dyDescent="0.35">
      <c r="B46" s="9"/>
      <c r="C46" s="3"/>
      <c r="D46" s="51"/>
      <c r="E46" s="3"/>
      <c r="F46" s="3"/>
      <c r="G46" s="3"/>
      <c r="H46" s="3"/>
      <c r="I46" s="3"/>
      <c r="J46" s="3"/>
      <c r="K46" s="3"/>
      <c r="L46" s="3"/>
      <c r="M46" s="3"/>
      <c r="N46" s="3"/>
      <c r="O46" s="3"/>
      <c r="P46" s="3"/>
      <c r="Q46" s="3"/>
      <c r="R46" s="3"/>
      <c r="S46" s="3"/>
      <c r="T46" s="3"/>
      <c r="U46" s="3"/>
    </row>
    <row r="47" spans="2:21" ht="15.5" x14ac:dyDescent="0.35">
      <c r="B47" s="246" t="s">
        <v>42</v>
      </c>
      <c r="C47" s="247"/>
      <c r="D47" s="247"/>
      <c r="E47" s="247"/>
      <c r="F47" s="247"/>
      <c r="G47" s="247"/>
      <c r="H47" s="247"/>
      <c r="I47" s="247"/>
      <c r="J47" s="247"/>
      <c r="K47" s="247"/>
      <c r="L47" s="247"/>
      <c r="M47" s="247"/>
      <c r="N47" s="247"/>
      <c r="O47" s="247"/>
      <c r="P47" s="247"/>
      <c r="Q47" s="247"/>
      <c r="R47" s="247"/>
      <c r="S47" s="247"/>
      <c r="T47" s="247"/>
      <c r="U47" s="248"/>
    </row>
    <row r="48" spans="2:21" ht="15.75" customHeight="1" x14ac:dyDescent="0.35">
      <c r="B48" s="40"/>
      <c r="C48" s="5"/>
      <c r="D48" s="5"/>
      <c r="E48" s="5"/>
      <c r="F48" s="5"/>
      <c r="G48" s="5"/>
      <c r="H48" s="5"/>
      <c r="I48" s="5"/>
      <c r="J48" s="5"/>
      <c r="K48" s="5"/>
      <c r="L48" s="5"/>
      <c r="M48" s="10"/>
      <c r="N48" s="10"/>
      <c r="O48" s="10"/>
      <c r="P48" s="10"/>
      <c r="Q48" s="10"/>
      <c r="R48" s="10"/>
      <c r="S48" s="10"/>
      <c r="T48" s="10"/>
      <c r="U48" s="12"/>
    </row>
    <row r="49" spans="2:21" x14ac:dyDescent="0.35">
      <c r="B49" s="41">
        <v>1</v>
      </c>
      <c r="C49" s="240" t="s">
        <v>73</v>
      </c>
      <c r="D49" s="240"/>
      <c r="E49" s="240"/>
      <c r="F49" s="240"/>
      <c r="G49" s="240"/>
      <c r="H49" s="240"/>
      <c r="I49" s="240"/>
      <c r="J49" s="240"/>
      <c r="K49" s="240"/>
      <c r="L49" s="240"/>
      <c r="M49" s="240"/>
      <c r="N49" s="240"/>
      <c r="O49" s="240"/>
      <c r="P49" s="240"/>
      <c r="Q49" s="240"/>
      <c r="R49" s="240"/>
      <c r="S49" s="240"/>
      <c r="T49" s="240"/>
      <c r="U49" s="240"/>
    </row>
    <row r="50" spans="2:21" x14ac:dyDescent="0.35">
      <c r="B50" s="41"/>
      <c r="C50" s="61"/>
      <c r="D50" s="61"/>
      <c r="E50" s="61"/>
      <c r="F50" s="61"/>
      <c r="G50" s="61"/>
      <c r="H50" s="61"/>
      <c r="I50" s="61"/>
      <c r="J50" s="61"/>
      <c r="K50" s="61"/>
      <c r="L50" s="61"/>
      <c r="M50" s="61"/>
      <c r="N50" s="61"/>
      <c r="O50" s="61"/>
      <c r="P50" s="61"/>
      <c r="Q50" s="61"/>
      <c r="R50" s="61"/>
      <c r="S50" s="61"/>
      <c r="T50" s="61"/>
      <c r="U50" s="62"/>
    </row>
    <row r="51" spans="2:21" ht="15.75" customHeight="1" x14ac:dyDescent="0.35">
      <c r="B51" s="41">
        <v>2</v>
      </c>
      <c r="C51" s="238" t="s">
        <v>72</v>
      </c>
      <c r="D51" s="238"/>
      <c r="E51" s="238"/>
      <c r="F51" s="238"/>
      <c r="G51" s="238"/>
      <c r="H51" s="238"/>
      <c r="I51" s="238"/>
      <c r="J51" s="238"/>
      <c r="K51" s="238"/>
      <c r="L51" s="238"/>
      <c r="M51" s="238"/>
      <c r="N51" s="238"/>
      <c r="O51" s="238"/>
      <c r="P51" s="238"/>
      <c r="Q51" s="238"/>
      <c r="R51" s="238"/>
      <c r="S51" s="238"/>
      <c r="T51" s="238"/>
      <c r="U51" s="239"/>
    </row>
    <row r="52" spans="2:21" x14ac:dyDescent="0.35">
      <c r="B52" s="41"/>
      <c r="C52" s="61"/>
      <c r="D52" s="61"/>
      <c r="E52" s="61"/>
      <c r="F52" s="61"/>
      <c r="G52" s="61"/>
      <c r="H52" s="61"/>
      <c r="I52" s="61"/>
      <c r="J52" s="61"/>
      <c r="K52" s="61"/>
      <c r="L52" s="61"/>
      <c r="M52" s="61"/>
      <c r="N52" s="61"/>
      <c r="O52" s="61"/>
      <c r="P52" s="61"/>
      <c r="Q52" s="61"/>
      <c r="R52" s="61"/>
      <c r="S52" s="61"/>
      <c r="T52" s="61"/>
      <c r="U52" s="62"/>
    </row>
    <row r="53" spans="2:21" x14ac:dyDescent="0.35">
      <c r="B53" s="41">
        <v>3</v>
      </c>
      <c r="C53" s="238" t="s">
        <v>74</v>
      </c>
      <c r="D53" s="238"/>
      <c r="E53" s="238"/>
      <c r="F53" s="238"/>
      <c r="G53" s="238"/>
      <c r="H53" s="238"/>
      <c r="I53" s="238"/>
      <c r="J53" s="238"/>
      <c r="K53" s="238"/>
      <c r="L53" s="238"/>
      <c r="M53" s="238"/>
      <c r="N53" s="238"/>
      <c r="O53" s="238"/>
      <c r="P53" s="238"/>
      <c r="Q53" s="238"/>
      <c r="R53" s="238"/>
      <c r="S53" s="238"/>
      <c r="T53" s="238"/>
      <c r="U53" s="239"/>
    </row>
    <row r="54" spans="2:21" x14ac:dyDescent="0.35">
      <c r="B54" s="41"/>
      <c r="C54" s="61"/>
      <c r="D54" s="61"/>
      <c r="E54" s="61"/>
      <c r="F54" s="61"/>
      <c r="G54" s="61"/>
      <c r="H54" s="61"/>
      <c r="I54" s="61"/>
      <c r="J54" s="61"/>
      <c r="K54" s="61"/>
      <c r="L54" s="61"/>
      <c r="M54" s="61"/>
      <c r="N54" s="61"/>
      <c r="O54" s="61"/>
      <c r="P54" s="61"/>
      <c r="Q54" s="61"/>
      <c r="R54" s="61"/>
      <c r="S54" s="61"/>
      <c r="T54" s="61"/>
      <c r="U54" s="62"/>
    </row>
    <row r="55" spans="2:21" x14ac:dyDescent="0.35">
      <c r="B55" s="41">
        <v>5</v>
      </c>
      <c r="C55" s="238" t="s">
        <v>75</v>
      </c>
      <c r="D55" s="238"/>
      <c r="E55" s="238"/>
      <c r="F55" s="238"/>
      <c r="G55" s="238"/>
      <c r="H55" s="238"/>
      <c r="I55" s="238"/>
      <c r="J55" s="238"/>
      <c r="K55" s="238"/>
      <c r="L55" s="238"/>
      <c r="M55" s="238"/>
      <c r="N55" s="238"/>
      <c r="O55" s="238"/>
      <c r="P55" s="238"/>
      <c r="Q55" s="238"/>
      <c r="R55" s="238"/>
      <c r="S55" s="238"/>
      <c r="T55" s="238"/>
      <c r="U55" s="239"/>
    </row>
    <row r="56" spans="2:21" ht="15.5" x14ac:dyDescent="0.35">
      <c r="B56" s="15"/>
      <c r="C56" s="16"/>
      <c r="D56" s="16"/>
      <c r="E56" s="16"/>
      <c r="F56" s="16"/>
      <c r="G56" s="16"/>
      <c r="H56" s="16"/>
      <c r="I56" s="16"/>
      <c r="J56" s="16"/>
      <c r="K56" s="13"/>
      <c r="L56" s="13"/>
      <c r="M56" s="38"/>
      <c r="N56" s="38"/>
      <c r="O56" s="38"/>
      <c r="P56" s="38"/>
      <c r="Q56" s="38"/>
      <c r="R56" s="38"/>
      <c r="S56" s="38"/>
      <c r="T56" s="38"/>
      <c r="U56" s="39"/>
    </row>
    <row r="68" ht="15.75" customHeight="1" x14ac:dyDescent="0.35"/>
    <row r="74" ht="15.75" customHeight="1" x14ac:dyDescent="0.35"/>
    <row r="77" ht="15.75" customHeight="1" x14ac:dyDescent="0.35"/>
    <row r="80" ht="15.75" customHeight="1" x14ac:dyDescent="0.35"/>
    <row r="83" ht="15.75" customHeight="1" x14ac:dyDescent="0.35"/>
    <row r="95" ht="15.75" customHeight="1" x14ac:dyDescent="0.35"/>
    <row r="102" ht="15.75" customHeight="1" x14ac:dyDescent="0.35"/>
    <row r="111" ht="15.75" customHeight="1" x14ac:dyDescent="0.35"/>
    <row r="117" ht="15.75" customHeight="1" x14ac:dyDescent="0.35"/>
    <row r="120" ht="15.75" customHeight="1" x14ac:dyDescent="0.35"/>
    <row r="121" ht="15.75" customHeight="1" x14ac:dyDescent="0.35"/>
    <row r="122" ht="15.75" customHeight="1" x14ac:dyDescent="0.35"/>
    <row r="123" ht="15.75" customHeight="1" x14ac:dyDescent="0.35"/>
    <row r="125" ht="15.75" customHeight="1" x14ac:dyDescent="0.35"/>
    <row r="128" ht="15.75" customHeight="1" x14ac:dyDescent="0.35"/>
    <row r="129" ht="15.75" customHeight="1" x14ac:dyDescent="0.35"/>
    <row r="130" ht="15.75" customHeight="1" x14ac:dyDescent="0.35"/>
    <row r="132" ht="15.75" customHeight="1" x14ac:dyDescent="0.35"/>
    <row r="134" ht="15.75" customHeight="1" x14ac:dyDescent="0.35"/>
    <row r="139" ht="15.75" customHeight="1" x14ac:dyDescent="0.35"/>
    <row r="147" ht="15.75" customHeight="1" x14ac:dyDescent="0.35"/>
    <row r="150" ht="15.75" customHeight="1" x14ac:dyDescent="0.35"/>
    <row r="152" ht="15.75" customHeight="1" x14ac:dyDescent="0.35"/>
    <row r="155" ht="15.75" customHeight="1" x14ac:dyDescent="0.35"/>
  </sheetData>
  <sheetProtection password="BEE3" sheet="1" objects="1" scenarios="1"/>
  <mergeCells count="22">
    <mergeCell ref="D19:T20"/>
    <mergeCell ref="D13:Q13"/>
    <mergeCell ref="B47:U47"/>
    <mergeCell ref="C43:U44"/>
    <mergeCell ref="C37:U38"/>
    <mergeCell ref="C33:U35"/>
    <mergeCell ref="B2:U2"/>
    <mergeCell ref="B4:U4"/>
    <mergeCell ref="D7:P7"/>
    <mergeCell ref="C55:U55"/>
    <mergeCell ref="C53:U53"/>
    <mergeCell ref="C51:U51"/>
    <mergeCell ref="C49:U49"/>
    <mergeCell ref="D9:N9"/>
    <mergeCell ref="C40:U41"/>
    <mergeCell ref="D22:T23"/>
    <mergeCell ref="D25:T27"/>
    <mergeCell ref="B31:U31"/>
    <mergeCell ref="B5:U5"/>
    <mergeCell ref="D15:L15"/>
    <mergeCell ref="D17:N17"/>
    <mergeCell ref="D11:O11"/>
  </mergeCells>
  <hyperlinks>
    <hyperlink ref="C51:T51" r:id="rId1" display="Handbook on rules of origin for preferential Certificates of Origin " xr:uid="{00000000-0004-0000-0000-000000000000}"/>
    <hyperlink ref="C53:T53" r:id="rId2" display="Handbook on rules of origin for Schemes of Preference" xr:uid="{00000000-0004-0000-0000-000001000000}"/>
    <hyperlink ref="C55" r:id="rId3" display="http://www.customs.gov.sg/businesses/harmonized-system-hs-classification-of-goods" xr:uid="{00000000-0004-0000-0000-000002000000}"/>
    <hyperlink ref="C51:U51" r:id="rId4" display="Handbook on rules of origin for preferential Certificates of Origin " xr:uid="{00000000-0004-0000-0000-000003000000}"/>
    <hyperlink ref="C53:U53" r:id="rId5" display="Handbook on rules of origin for Schemes of Preference" xr:uid="{00000000-0004-0000-0000-000004000000}"/>
    <hyperlink ref="C55:U55" r:id="rId6" display="Singapore Trade Classification, Customs and Excise Duties (STCCED)" xr:uid="{00000000-0004-0000-0000-000005000000}"/>
    <hyperlink ref="C49:U49" r:id="rId7" display="Legal text of Free Trade Agreements" xr:uid="{00000000-0004-0000-0000-000006000000}"/>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43027" r:id="rId11" name="Check Box 19">
              <controlPr defaultSize="0" autoFill="0" autoLine="0" autoPict="0">
                <anchor moveWithCells="1">
                  <from>
                    <xdr:col>2</xdr:col>
                    <xdr:colOff>12700</xdr:colOff>
                    <xdr:row>18</xdr:row>
                    <xdr:rowOff>0</xdr:rowOff>
                  </from>
                  <to>
                    <xdr:col>8</xdr:col>
                    <xdr:colOff>12700</xdr:colOff>
                    <xdr:row>19</xdr:row>
                    <xdr:rowOff>107950</xdr:rowOff>
                  </to>
                </anchor>
              </controlPr>
            </control>
          </mc:Choice>
        </mc:AlternateContent>
        <mc:AlternateContent xmlns:mc="http://schemas.openxmlformats.org/markup-compatibility/2006">
          <mc:Choice Requires="x14">
            <control shapeId="43028" r:id="rId12" name="Check Box 20">
              <controlPr defaultSize="0" autoFill="0" autoLine="0" autoPict="0">
                <anchor moveWithCells="1">
                  <from>
                    <xdr:col>2</xdr:col>
                    <xdr:colOff>12700</xdr:colOff>
                    <xdr:row>20</xdr:row>
                    <xdr:rowOff>133350</xdr:rowOff>
                  </from>
                  <to>
                    <xdr:col>8</xdr:col>
                    <xdr:colOff>12700</xdr:colOff>
                    <xdr:row>22</xdr:row>
                    <xdr:rowOff>38100</xdr:rowOff>
                  </to>
                </anchor>
              </controlPr>
            </control>
          </mc:Choice>
        </mc:AlternateContent>
        <mc:AlternateContent xmlns:mc="http://schemas.openxmlformats.org/markup-compatibility/2006">
          <mc:Choice Requires="x14">
            <control shapeId="43029" r:id="rId13" name="Check Box 21">
              <controlPr defaultSize="0" autoFill="0" autoLine="0" autoPict="0">
                <anchor moveWithCells="1">
                  <from>
                    <xdr:col>2</xdr:col>
                    <xdr:colOff>12700</xdr:colOff>
                    <xdr:row>23</xdr:row>
                    <xdr:rowOff>133350</xdr:rowOff>
                  </from>
                  <to>
                    <xdr:col>8</xdr:col>
                    <xdr:colOff>12700</xdr:colOff>
                    <xdr:row>25</xdr:row>
                    <xdr:rowOff>38100</xdr:rowOff>
                  </to>
                </anchor>
              </controlPr>
            </control>
          </mc:Choice>
        </mc:AlternateContent>
        <mc:AlternateContent xmlns:mc="http://schemas.openxmlformats.org/markup-compatibility/2006">
          <mc:Choice Requires="x14">
            <control shapeId="43030" r:id="rId14" name="Check Box 22">
              <controlPr defaultSize="0" autoFill="0" autoLine="0" autoPict="0">
                <anchor moveWithCells="1">
                  <from>
                    <xdr:col>2</xdr:col>
                    <xdr:colOff>19050</xdr:colOff>
                    <xdr:row>15</xdr:row>
                    <xdr:rowOff>152400</xdr:rowOff>
                  </from>
                  <to>
                    <xdr:col>8</xdr:col>
                    <xdr:colOff>19050</xdr:colOff>
                    <xdr:row>17</xdr:row>
                    <xdr:rowOff>57150</xdr:rowOff>
                  </to>
                </anchor>
              </controlPr>
            </control>
          </mc:Choice>
        </mc:AlternateContent>
        <mc:AlternateContent xmlns:mc="http://schemas.openxmlformats.org/markup-compatibility/2006">
          <mc:Choice Requires="x14">
            <control shapeId="43031" r:id="rId15" name="Check Box 23">
              <controlPr defaultSize="0" autoFill="0" autoLine="0" autoPict="0">
                <anchor moveWithCells="1">
                  <from>
                    <xdr:col>2</xdr:col>
                    <xdr:colOff>31750</xdr:colOff>
                    <xdr:row>13</xdr:row>
                    <xdr:rowOff>152400</xdr:rowOff>
                  </from>
                  <to>
                    <xdr:col>8</xdr:col>
                    <xdr:colOff>19050</xdr:colOff>
                    <xdr:row>15</xdr:row>
                    <xdr:rowOff>57150</xdr:rowOff>
                  </to>
                </anchor>
              </controlPr>
            </control>
          </mc:Choice>
        </mc:AlternateContent>
        <mc:AlternateContent xmlns:mc="http://schemas.openxmlformats.org/markup-compatibility/2006">
          <mc:Choice Requires="x14">
            <control shapeId="43032" r:id="rId16" name="Check Box 24">
              <controlPr defaultSize="0" autoFill="0" autoLine="0" autoPict="0">
                <anchor moveWithCells="1">
                  <from>
                    <xdr:col>2</xdr:col>
                    <xdr:colOff>19050</xdr:colOff>
                    <xdr:row>11</xdr:row>
                    <xdr:rowOff>152400</xdr:rowOff>
                  </from>
                  <to>
                    <xdr:col>8</xdr:col>
                    <xdr:colOff>19050</xdr:colOff>
                    <xdr:row>13</xdr:row>
                    <xdr:rowOff>57150</xdr:rowOff>
                  </to>
                </anchor>
              </controlPr>
            </control>
          </mc:Choice>
        </mc:AlternateContent>
        <mc:AlternateContent xmlns:mc="http://schemas.openxmlformats.org/markup-compatibility/2006">
          <mc:Choice Requires="x14">
            <control shapeId="43033" r:id="rId17" name="Check Box 25">
              <controlPr defaultSize="0" autoFill="0" autoLine="0" autoPict="0">
                <anchor moveWithCells="1">
                  <from>
                    <xdr:col>2</xdr:col>
                    <xdr:colOff>31750</xdr:colOff>
                    <xdr:row>9</xdr:row>
                    <xdr:rowOff>146050</xdr:rowOff>
                  </from>
                  <to>
                    <xdr:col>8</xdr:col>
                    <xdr:colOff>19050</xdr:colOff>
                    <xdr:row>11</xdr:row>
                    <xdr:rowOff>50800</xdr:rowOff>
                  </to>
                </anchor>
              </controlPr>
            </control>
          </mc:Choice>
        </mc:AlternateContent>
        <mc:AlternateContent xmlns:mc="http://schemas.openxmlformats.org/markup-compatibility/2006">
          <mc:Choice Requires="x14">
            <control shapeId="43034" r:id="rId18" name="Check Box 26">
              <controlPr defaultSize="0" autoFill="0" autoLine="0" autoPict="0">
                <anchor moveWithCells="1">
                  <from>
                    <xdr:col>2</xdr:col>
                    <xdr:colOff>19050</xdr:colOff>
                    <xdr:row>7</xdr:row>
                    <xdr:rowOff>152400</xdr:rowOff>
                  </from>
                  <to>
                    <xdr:col>8</xdr:col>
                    <xdr:colOff>19050</xdr:colOff>
                    <xdr:row>9</xdr:row>
                    <xdr:rowOff>57150</xdr:rowOff>
                  </to>
                </anchor>
              </controlPr>
            </control>
          </mc:Choice>
        </mc:AlternateContent>
        <mc:AlternateContent xmlns:mc="http://schemas.openxmlformats.org/markup-compatibility/2006">
          <mc:Choice Requires="x14">
            <control shapeId="43035" r:id="rId19" name="Check Box 27">
              <controlPr defaultSize="0" autoFill="0" autoLine="0" autoPict="0">
                <anchor moveWithCells="1">
                  <from>
                    <xdr:col>2</xdr:col>
                    <xdr:colOff>19050</xdr:colOff>
                    <xdr:row>5</xdr:row>
                    <xdr:rowOff>165100</xdr:rowOff>
                  </from>
                  <to>
                    <xdr:col>8</xdr:col>
                    <xdr:colOff>12700</xdr:colOff>
                    <xdr:row>7</xdr:row>
                    <xdr:rowOff>69850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V161"/>
  <sheetViews>
    <sheetView showGridLines="0" zoomScale="80" zoomScaleNormal="80" workbookViewId="0">
      <selection activeCell="C91" sqref="C91:U91"/>
    </sheetView>
  </sheetViews>
  <sheetFormatPr defaultRowHeight="14.5" x14ac:dyDescent="0.35"/>
  <cols>
    <col min="2" max="2" width="3" customWidth="1"/>
    <col min="3" max="5" width="7.54296875" customWidth="1"/>
    <col min="6" max="6" width="9.26953125" customWidth="1"/>
    <col min="7" max="9" width="7.54296875" customWidth="1"/>
    <col min="10" max="10" width="5.7265625" customWidth="1"/>
    <col min="11" max="19" width="7.54296875" customWidth="1"/>
    <col min="20" max="20" width="13.7265625" customWidth="1"/>
    <col min="21" max="21" width="7.54296875" customWidth="1"/>
    <col min="22" max="22" width="5" customWidth="1"/>
    <col min="27" max="27" width="9.1796875" customWidth="1"/>
  </cols>
  <sheetData>
    <row r="1" spans="1:22" x14ac:dyDescent="0.35">
      <c r="A1" s="106"/>
      <c r="B1" s="106"/>
      <c r="C1" s="106"/>
      <c r="D1" s="106"/>
      <c r="E1" s="106"/>
      <c r="F1" s="106"/>
      <c r="G1" s="106"/>
      <c r="H1" s="106"/>
      <c r="I1" s="106"/>
      <c r="J1" s="106"/>
      <c r="K1" s="106"/>
      <c r="L1" s="106"/>
      <c r="M1" s="106"/>
      <c r="N1" s="106"/>
      <c r="O1" s="106"/>
      <c r="P1" s="106"/>
      <c r="Q1" s="106"/>
      <c r="R1" s="106"/>
      <c r="S1" s="106"/>
      <c r="T1" s="106"/>
      <c r="U1" s="106"/>
      <c r="V1" s="106"/>
    </row>
    <row r="2" spans="1:22" ht="15.5" x14ac:dyDescent="0.35">
      <c r="A2" s="106"/>
      <c r="B2" s="268" t="s">
        <v>142</v>
      </c>
      <c r="C2" s="269"/>
      <c r="D2" s="269"/>
      <c r="E2" s="269"/>
      <c r="F2" s="269"/>
      <c r="G2" s="269"/>
      <c r="H2" s="269"/>
      <c r="I2" s="269"/>
      <c r="J2" s="269"/>
      <c r="K2" s="269"/>
      <c r="L2" s="269"/>
      <c r="M2" s="269"/>
      <c r="N2" s="269"/>
      <c r="O2" s="269"/>
      <c r="P2" s="269"/>
      <c r="Q2" s="269"/>
      <c r="R2" s="269"/>
      <c r="S2" s="269"/>
      <c r="T2" s="269"/>
      <c r="U2" s="270"/>
      <c r="V2" s="106"/>
    </row>
    <row r="3" spans="1:22" ht="15.5" x14ac:dyDescent="0.35">
      <c r="A3" s="106"/>
      <c r="B3" s="107"/>
      <c r="C3" s="108"/>
      <c r="D3" s="108"/>
      <c r="E3" s="108"/>
      <c r="F3" s="108"/>
      <c r="G3" s="108"/>
      <c r="H3" s="108"/>
      <c r="I3" s="108"/>
      <c r="J3" s="108"/>
      <c r="K3" s="108"/>
      <c r="L3" s="108"/>
      <c r="M3" s="108"/>
      <c r="N3" s="108"/>
      <c r="O3" s="108"/>
      <c r="P3" s="108"/>
      <c r="Q3" s="108"/>
      <c r="R3" s="108"/>
      <c r="S3" s="108"/>
      <c r="T3" s="108"/>
      <c r="U3" s="109"/>
      <c r="V3" s="106"/>
    </row>
    <row r="4" spans="1:22" ht="15.5" x14ac:dyDescent="0.35">
      <c r="A4" s="106"/>
      <c r="B4" s="110">
        <v>1</v>
      </c>
      <c r="C4" s="271" t="s">
        <v>76</v>
      </c>
      <c r="D4" s="271"/>
      <c r="E4" s="271"/>
      <c r="F4" s="271"/>
      <c r="G4" s="271"/>
      <c r="H4" s="271"/>
      <c r="I4" s="271"/>
      <c r="J4" s="271"/>
      <c r="K4" s="271"/>
      <c r="L4" s="271"/>
      <c r="M4" s="271"/>
      <c r="N4" s="271"/>
      <c r="O4" s="271"/>
      <c r="P4" s="271"/>
      <c r="Q4" s="271"/>
      <c r="R4" s="271"/>
      <c r="S4" s="271"/>
      <c r="T4" s="271"/>
      <c r="U4" s="272"/>
      <c r="V4" s="106"/>
    </row>
    <row r="5" spans="1:22" ht="15.5" x14ac:dyDescent="0.35">
      <c r="A5" s="106"/>
      <c r="B5" s="111"/>
      <c r="C5" s="112"/>
      <c r="D5" s="112"/>
      <c r="E5" s="112"/>
      <c r="F5" s="112"/>
      <c r="G5" s="112"/>
      <c r="H5" s="112"/>
      <c r="I5" s="112"/>
      <c r="J5" s="112"/>
      <c r="K5" s="112"/>
      <c r="L5" s="112"/>
      <c r="M5" s="112"/>
      <c r="N5" s="112"/>
      <c r="O5" s="112"/>
      <c r="P5" s="112"/>
      <c r="Q5" s="112"/>
      <c r="R5" s="112"/>
      <c r="S5" s="112"/>
      <c r="T5" s="112"/>
      <c r="U5" s="113"/>
      <c r="V5" s="106"/>
    </row>
    <row r="6" spans="1:22" ht="15.5" x14ac:dyDescent="0.35">
      <c r="A6" s="106"/>
      <c r="B6" s="111"/>
      <c r="C6" s="114" t="s">
        <v>80</v>
      </c>
      <c r="D6" s="273" t="s">
        <v>81</v>
      </c>
      <c r="E6" s="273"/>
      <c r="F6" s="273"/>
      <c r="G6" s="273"/>
      <c r="H6" s="273"/>
      <c r="I6" s="273"/>
      <c r="J6" s="273"/>
      <c r="K6" s="273"/>
      <c r="L6" s="273"/>
      <c r="M6" s="273"/>
      <c r="N6" s="273"/>
      <c r="O6" s="273"/>
      <c r="P6" s="273"/>
      <c r="Q6" s="273"/>
      <c r="R6" s="273"/>
      <c r="S6" s="273"/>
      <c r="T6" s="273"/>
      <c r="U6" s="274"/>
      <c r="V6" s="106"/>
    </row>
    <row r="7" spans="1:22" ht="15.5" x14ac:dyDescent="0.35">
      <c r="A7" s="106"/>
      <c r="B7" s="111"/>
      <c r="C7" s="114"/>
      <c r="D7" s="115"/>
      <c r="E7" s="115"/>
      <c r="F7" s="115"/>
      <c r="G7" s="115"/>
      <c r="H7" s="115"/>
      <c r="I7" s="115"/>
      <c r="J7" s="115"/>
      <c r="K7" s="115"/>
      <c r="L7" s="115"/>
      <c r="M7" s="115"/>
      <c r="N7" s="115"/>
      <c r="O7" s="115"/>
      <c r="P7" s="115"/>
      <c r="Q7" s="115"/>
      <c r="R7" s="115"/>
      <c r="S7" s="115"/>
      <c r="T7" s="115"/>
      <c r="U7" s="116"/>
      <c r="V7" s="106"/>
    </row>
    <row r="8" spans="1:22" ht="15.5" x14ac:dyDescent="0.35">
      <c r="A8" s="106"/>
      <c r="B8" s="111"/>
      <c r="C8" s="117" t="s">
        <v>80</v>
      </c>
      <c r="D8" s="273" t="s">
        <v>82</v>
      </c>
      <c r="E8" s="273"/>
      <c r="F8" s="273"/>
      <c r="G8" s="273"/>
      <c r="H8" s="273"/>
      <c r="I8" s="273"/>
      <c r="J8" s="273"/>
      <c r="K8" s="273"/>
      <c r="L8" s="273"/>
      <c r="M8" s="273"/>
      <c r="N8" s="273"/>
      <c r="O8" s="273"/>
      <c r="P8" s="273"/>
      <c r="Q8" s="273"/>
      <c r="R8" s="273"/>
      <c r="S8" s="273"/>
      <c r="T8" s="273"/>
      <c r="U8" s="274"/>
      <c r="V8" s="106"/>
    </row>
    <row r="9" spans="1:22" ht="15.5" x14ac:dyDescent="0.35">
      <c r="A9" s="106"/>
      <c r="B9" s="111"/>
      <c r="C9" s="117"/>
      <c r="D9" s="115"/>
      <c r="E9" s="115"/>
      <c r="F9" s="115"/>
      <c r="G9" s="115"/>
      <c r="H9" s="115"/>
      <c r="I9" s="115"/>
      <c r="J9" s="115"/>
      <c r="K9" s="115"/>
      <c r="L9" s="115"/>
      <c r="M9" s="115"/>
      <c r="N9" s="115"/>
      <c r="O9" s="115"/>
      <c r="P9" s="115"/>
      <c r="Q9" s="115"/>
      <c r="R9" s="115"/>
      <c r="S9" s="115"/>
      <c r="T9" s="115"/>
      <c r="U9" s="116"/>
      <c r="V9" s="106"/>
    </row>
    <row r="10" spans="1:22" ht="15.5" x14ac:dyDescent="0.35">
      <c r="A10" s="106"/>
      <c r="B10" s="111"/>
      <c r="C10" s="117" t="s">
        <v>80</v>
      </c>
      <c r="D10" s="275" t="s">
        <v>83</v>
      </c>
      <c r="E10" s="275"/>
      <c r="F10" s="275"/>
      <c r="G10" s="275"/>
      <c r="H10" s="275"/>
      <c r="I10" s="275"/>
      <c r="J10" s="275"/>
      <c r="K10" s="275"/>
      <c r="L10" s="275"/>
      <c r="M10" s="275"/>
      <c r="N10" s="275"/>
      <c r="O10" s="275"/>
      <c r="P10" s="275"/>
      <c r="Q10" s="275"/>
      <c r="R10" s="275"/>
      <c r="S10" s="275"/>
      <c r="T10" s="275"/>
      <c r="U10" s="276"/>
      <c r="V10" s="106"/>
    </row>
    <row r="11" spans="1:22" ht="15.5" x14ac:dyDescent="0.35">
      <c r="A11" s="106"/>
      <c r="B11" s="111"/>
      <c r="C11" s="118"/>
      <c r="D11" s="119"/>
      <c r="E11" s="119"/>
      <c r="F11" s="119"/>
      <c r="G11" s="119"/>
      <c r="H11" s="120"/>
      <c r="I11" s="120"/>
      <c r="J11" s="120"/>
      <c r="K11" s="121"/>
      <c r="L11" s="121"/>
      <c r="M11" s="121"/>
      <c r="N11" s="121"/>
      <c r="O11" s="121"/>
      <c r="P11" s="121"/>
      <c r="Q11" s="121"/>
      <c r="R11" s="121"/>
      <c r="S11" s="121"/>
      <c r="T11" s="121"/>
      <c r="U11" s="122"/>
      <c r="V11" s="106"/>
    </row>
    <row r="12" spans="1:22" ht="15.5" x14ac:dyDescent="0.35">
      <c r="A12" s="106"/>
      <c r="B12" s="123"/>
      <c r="C12" s="240" t="s">
        <v>71</v>
      </c>
      <c r="D12" s="240"/>
      <c r="E12" s="240"/>
      <c r="F12" s="240"/>
      <c r="G12" s="240"/>
      <c r="H12" s="121"/>
      <c r="I12" s="121"/>
      <c r="J12" s="121"/>
      <c r="K12" s="121"/>
      <c r="L12" s="121"/>
      <c r="M12" s="121"/>
      <c r="N12" s="121"/>
      <c r="O12" s="121"/>
      <c r="P12" s="121"/>
      <c r="Q12" s="121"/>
      <c r="R12" s="124"/>
      <c r="S12" s="121"/>
      <c r="T12" s="257" t="s">
        <v>143</v>
      </c>
      <c r="U12" s="258"/>
      <c r="V12" s="106"/>
    </row>
    <row r="13" spans="1:22" ht="15.5" x14ac:dyDescent="0.35">
      <c r="A13" s="106"/>
      <c r="B13" s="125"/>
      <c r="C13" s="126"/>
      <c r="D13" s="126"/>
      <c r="E13" s="126"/>
      <c r="F13" s="126"/>
      <c r="G13" s="126"/>
      <c r="H13" s="126"/>
      <c r="I13" s="126"/>
      <c r="J13" s="126"/>
      <c r="K13" s="126"/>
      <c r="L13" s="126"/>
      <c r="M13" s="126"/>
      <c r="N13" s="126"/>
      <c r="O13" s="126"/>
      <c r="P13" s="126"/>
      <c r="Q13" s="126"/>
      <c r="R13" s="126"/>
      <c r="S13" s="126"/>
      <c r="T13" s="126"/>
      <c r="U13" s="127"/>
      <c r="V13" s="106"/>
    </row>
    <row r="14" spans="1:22" ht="15.5" x14ac:dyDescent="0.35">
      <c r="A14" s="106"/>
      <c r="B14" s="110">
        <v>2</v>
      </c>
      <c r="C14" s="259" t="s">
        <v>194</v>
      </c>
      <c r="D14" s="259"/>
      <c r="E14" s="259"/>
      <c r="F14" s="259"/>
      <c r="G14" s="259"/>
      <c r="H14" s="259"/>
      <c r="I14" s="259"/>
      <c r="J14" s="259"/>
      <c r="K14" s="259"/>
      <c r="L14" s="259"/>
      <c r="M14" s="259"/>
      <c r="N14" s="259"/>
      <c r="O14" s="259"/>
      <c r="P14" s="259"/>
      <c r="Q14" s="259"/>
      <c r="R14" s="259"/>
      <c r="S14" s="259"/>
      <c r="T14" s="259"/>
      <c r="U14" s="260"/>
      <c r="V14" s="106"/>
    </row>
    <row r="15" spans="1:22" ht="15.5" x14ac:dyDescent="0.35">
      <c r="A15" s="106"/>
      <c r="B15" s="125"/>
      <c r="C15" s="126"/>
      <c r="D15" s="128"/>
      <c r="E15" s="128"/>
      <c r="F15" s="128"/>
      <c r="G15" s="128"/>
      <c r="H15" s="128"/>
      <c r="I15" s="128"/>
      <c r="J15" s="128"/>
      <c r="K15" s="128"/>
      <c r="L15" s="128"/>
      <c r="M15" s="126"/>
      <c r="N15" s="126"/>
      <c r="O15" s="126"/>
      <c r="P15" s="126"/>
      <c r="Q15" s="126"/>
      <c r="R15" s="126"/>
      <c r="S15" s="126"/>
      <c r="T15" s="126"/>
      <c r="U15" s="127"/>
      <c r="V15" s="106"/>
    </row>
    <row r="16" spans="1:22" ht="15.5" x14ac:dyDescent="0.35">
      <c r="A16" s="106"/>
      <c r="B16" s="125"/>
      <c r="C16" s="117" t="s">
        <v>80</v>
      </c>
      <c r="D16" s="261" t="s">
        <v>183</v>
      </c>
      <c r="E16" s="261"/>
      <c r="F16" s="261"/>
      <c r="G16" s="261"/>
      <c r="H16" s="261"/>
      <c r="I16" s="261"/>
      <c r="J16" s="261"/>
      <c r="K16" s="261"/>
      <c r="L16" s="261"/>
      <c r="M16" s="261"/>
      <c r="N16" s="261"/>
      <c r="O16" s="261"/>
      <c r="P16" s="261"/>
      <c r="Q16" s="261"/>
      <c r="R16" s="261"/>
      <c r="S16" s="261"/>
      <c r="T16" s="261"/>
      <c r="U16" s="262"/>
      <c r="V16" s="106"/>
    </row>
    <row r="17" spans="1:22" ht="15.5" x14ac:dyDescent="0.35">
      <c r="A17" s="106"/>
      <c r="B17" s="125"/>
      <c r="C17" s="129"/>
      <c r="D17" s="129"/>
      <c r="E17" s="129"/>
      <c r="F17" s="129"/>
      <c r="G17" s="129"/>
      <c r="H17" s="129"/>
      <c r="I17" s="129"/>
      <c r="J17" s="129"/>
      <c r="K17" s="129"/>
      <c r="L17" s="129"/>
      <c r="M17" s="129"/>
      <c r="N17" s="129"/>
      <c r="O17" s="129"/>
      <c r="P17" s="129"/>
      <c r="Q17" s="129"/>
      <c r="R17" s="129"/>
      <c r="S17" s="129"/>
      <c r="T17" s="129"/>
      <c r="U17" s="130"/>
      <c r="V17" s="106"/>
    </row>
    <row r="18" spans="1:22" ht="15.5" x14ac:dyDescent="0.35">
      <c r="A18" s="106"/>
      <c r="B18" s="125"/>
      <c r="C18" s="263" t="s">
        <v>70</v>
      </c>
      <c r="D18" s="263"/>
      <c r="E18" s="263"/>
      <c r="F18" s="263"/>
      <c r="G18" s="263"/>
      <c r="H18" s="129"/>
      <c r="I18" s="129"/>
      <c r="J18" s="129"/>
      <c r="K18" s="129"/>
      <c r="L18" s="129"/>
      <c r="M18" s="129"/>
      <c r="N18" s="129"/>
      <c r="O18" s="129"/>
      <c r="P18" s="129"/>
      <c r="Q18" s="129"/>
      <c r="R18" s="129"/>
      <c r="S18" s="129"/>
      <c r="U18" s="214"/>
      <c r="V18" s="215"/>
    </row>
    <row r="19" spans="1:22" ht="15.5" x14ac:dyDescent="0.35">
      <c r="A19" s="106"/>
      <c r="B19" s="125"/>
      <c r="C19" s="167"/>
      <c r="D19" s="167"/>
      <c r="E19" s="167"/>
      <c r="F19" s="167"/>
      <c r="G19" s="167"/>
      <c r="H19" s="129"/>
      <c r="I19" s="129"/>
      <c r="J19" s="129"/>
      <c r="K19" s="129"/>
      <c r="L19" s="129"/>
      <c r="M19" s="129"/>
      <c r="N19" s="129"/>
      <c r="O19" s="129"/>
      <c r="P19" s="129"/>
      <c r="Q19" s="129"/>
      <c r="R19" s="129"/>
      <c r="S19" s="129"/>
      <c r="T19" s="165"/>
      <c r="U19" s="166"/>
      <c r="V19" s="106"/>
    </row>
    <row r="20" spans="1:22" ht="15.5" x14ac:dyDescent="0.35">
      <c r="A20" s="106"/>
      <c r="B20" s="123"/>
      <c r="C20" s="65"/>
      <c r="D20" s="254" t="s">
        <v>77</v>
      </c>
      <c r="E20" s="254"/>
      <c r="F20" s="254"/>
      <c r="G20" s="254"/>
      <c r="H20" s="254"/>
      <c r="I20" s="254"/>
      <c r="J20" s="254"/>
      <c r="K20" s="254"/>
      <c r="L20" s="254"/>
      <c r="M20" s="254"/>
      <c r="N20" s="254"/>
      <c r="O20" s="254"/>
      <c r="P20" s="254"/>
      <c r="Q20" s="254"/>
      <c r="R20" s="254"/>
      <c r="S20" s="254"/>
      <c r="T20" s="254"/>
      <c r="U20" s="255"/>
      <c r="V20" s="106"/>
    </row>
    <row r="21" spans="1:22" ht="15.5" x14ac:dyDescent="0.35">
      <c r="A21" s="106"/>
      <c r="B21" s="123"/>
      <c r="C21" s="65"/>
      <c r="D21" s="256" t="s">
        <v>57</v>
      </c>
      <c r="E21" s="256"/>
      <c r="F21" s="256"/>
      <c r="G21" s="256"/>
      <c r="H21" s="256"/>
      <c r="I21" s="256"/>
      <c r="J21" s="256"/>
      <c r="K21" s="256" t="s">
        <v>63</v>
      </c>
      <c r="L21" s="256"/>
      <c r="M21" s="256"/>
      <c r="N21" s="256"/>
      <c r="O21" s="256"/>
      <c r="P21" s="256"/>
      <c r="Q21" s="256"/>
      <c r="R21" s="256"/>
      <c r="S21" s="256"/>
      <c r="T21" s="118"/>
      <c r="U21" s="132"/>
      <c r="V21" s="106"/>
    </row>
    <row r="22" spans="1:22" ht="15.5" x14ac:dyDescent="0.35">
      <c r="A22" s="106"/>
      <c r="B22" s="123"/>
      <c r="C22" s="65"/>
      <c r="D22" s="256" t="s">
        <v>58</v>
      </c>
      <c r="E22" s="256"/>
      <c r="F22" s="256"/>
      <c r="G22" s="256"/>
      <c r="H22" s="256"/>
      <c r="I22" s="256"/>
      <c r="J22" s="256"/>
      <c r="K22" s="256" t="s">
        <v>64</v>
      </c>
      <c r="L22" s="256"/>
      <c r="M22" s="256"/>
      <c r="N22" s="256"/>
      <c r="O22" s="256"/>
      <c r="P22" s="256"/>
      <c r="Q22" s="256"/>
      <c r="R22" s="256"/>
      <c r="S22" s="256"/>
      <c r="T22" s="118"/>
      <c r="U22" s="132"/>
      <c r="V22" s="106"/>
    </row>
    <row r="23" spans="1:22" ht="15.5" x14ac:dyDescent="0.35">
      <c r="A23" s="106"/>
      <c r="B23" s="123"/>
      <c r="C23" s="65"/>
      <c r="D23" s="256" t="s">
        <v>59</v>
      </c>
      <c r="E23" s="256"/>
      <c r="F23" s="256"/>
      <c r="G23" s="256"/>
      <c r="H23" s="256"/>
      <c r="I23" s="256"/>
      <c r="J23" s="256"/>
      <c r="K23" s="256" t="s">
        <v>65</v>
      </c>
      <c r="L23" s="256"/>
      <c r="M23" s="256"/>
      <c r="N23" s="256"/>
      <c r="O23" s="256"/>
      <c r="P23" s="256"/>
      <c r="Q23" s="256"/>
      <c r="R23" s="256"/>
      <c r="S23" s="256"/>
      <c r="T23" s="118"/>
      <c r="U23" s="132"/>
      <c r="V23" s="106"/>
    </row>
    <row r="24" spans="1:22" ht="15.5" x14ac:dyDescent="0.35">
      <c r="A24" s="106"/>
      <c r="B24" s="123"/>
      <c r="C24" s="65"/>
      <c r="D24" s="256" t="s">
        <v>60</v>
      </c>
      <c r="E24" s="256"/>
      <c r="F24" s="256"/>
      <c r="G24" s="256"/>
      <c r="H24" s="256"/>
      <c r="I24" s="256"/>
      <c r="J24" s="256"/>
      <c r="K24" s="256" t="s">
        <v>66</v>
      </c>
      <c r="L24" s="256"/>
      <c r="M24" s="256"/>
      <c r="N24" s="256"/>
      <c r="O24" s="256"/>
      <c r="P24" s="256"/>
      <c r="Q24" s="256"/>
      <c r="R24" s="256"/>
      <c r="S24" s="256"/>
      <c r="T24" s="118"/>
      <c r="U24" s="132"/>
      <c r="V24" s="106"/>
    </row>
    <row r="25" spans="1:22" ht="15.5" x14ac:dyDescent="0.35">
      <c r="A25" s="106"/>
      <c r="B25" s="123"/>
      <c r="C25" s="65"/>
      <c r="D25" s="256" t="s">
        <v>61</v>
      </c>
      <c r="E25" s="256"/>
      <c r="F25" s="256"/>
      <c r="G25" s="256"/>
      <c r="H25" s="256"/>
      <c r="I25" s="256"/>
      <c r="J25" s="256"/>
      <c r="K25" s="256" t="s">
        <v>19</v>
      </c>
      <c r="L25" s="256"/>
      <c r="M25" s="256"/>
      <c r="N25" s="256"/>
      <c r="O25" s="256"/>
      <c r="P25" s="256"/>
      <c r="Q25" s="256"/>
      <c r="R25" s="256"/>
      <c r="S25" s="256"/>
      <c r="T25" s="118"/>
      <c r="U25" s="132"/>
      <c r="V25" s="106"/>
    </row>
    <row r="26" spans="1:22" ht="15.5" x14ac:dyDescent="0.35">
      <c r="A26" s="106"/>
      <c r="B26" s="123"/>
      <c r="C26" s="65"/>
      <c r="D26" s="256" t="s">
        <v>62</v>
      </c>
      <c r="E26" s="256"/>
      <c r="F26" s="256"/>
      <c r="G26" s="256"/>
      <c r="H26" s="256"/>
      <c r="I26" s="256"/>
      <c r="J26" s="256"/>
      <c r="K26" s="256" t="s">
        <v>21</v>
      </c>
      <c r="L26" s="256"/>
      <c r="M26" s="256"/>
      <c r="N26" s="256"/>
      <c r="O26" s="256"/>
      <c r="P26" s="256"/>
      <c r="Q26" s="256"/>
      <c r="R26" s="256"/>
      <c r="S26" s="256"/>
      <c r="T26" s="118"/>
      <c r="U26" s="132"/>
      <c r="V26" s="106"/>
    </row>
    <row r="27" spans="1:22" ht="15.5" x14ac:dyDescent="0.35">
      <c r="A27" s="106"/>
      <c r="B27" s="123"/>
      <c r="C27" s="118"/>
      <c r="D27" s="256" t="s">
        <v>236</v>
      </c>
      <c r="E27" s="256"/>
      <c r="F27" s="256"/>
      <c r="G27" s="256"/>
      <c r="H27" s="256"/>
      <c r="I27" s="256"/>
      <c r="J27" s="65"/>
      <c r="K27" s="256" t="s">
        <v>20</v>
      </c>
      <c r="L27" s="256"/>
      <c r="M27" s="256"/>
      <c r="N27" s="256"/>
      <c r="O27" s="256"/>
      <c r="P27" s="256"/>
      <c r="Q27" s="256"/>
      <c r="R27" s="256"/>
      <c r="S27" s="256"/>
      <c r="T27" s="135"/>
      <c r="U27" s="136"/>
      <c r="V27" s="106"/>
    </row>
    <row r="28" spans="1:22" ht="15.5" x14ac:dyDescent="0.35">
      <c r="A28" s="106"/>
      <c r="B28" s="123"/>
      <c r="C28" s="137"/>
      <c r="D28" s="137"/>
      <c r="E28" s="137"/>
      <c r="F28" s="137"/>
      <c r="G28" s="137"/>
      <c r="H28" s="135"/>
      <c r="I28" s="135"/>
      <c r="J28" s="135"/>
      <c r="K28" s="256" t="s">
        <v>112</v>
      </c>
      <c r="L28" s="256"/>
      <c r="M28" s="256"/>
      <c r="N28" s="256"/>
      <c r="O28" s="256"/>
      <c r="P28" s="256"/>
      <c r="Q28" s="256"/>
      <c r="R28" s="256"/>
      <c r="S28" s="256"/>
      <c r="T28" s="135"/>
      <c r="U28" s="136"/>
      <c r="V28" s="106"/>
    </row>
    <row r="29" spans="1:22" ht="15.5" x14ac:dyDescent="0.35">
      <c r="A29" s="106"/>
      <c r="B29" s="123"/>
      <c r="C29" s="137"/>
      <c r="D29" s="137"/>
      <c r="E29" s="137"/>
      <c r="F29" s="137"/>
      <c r="G29" s="137"/>
      <c r="H29" s="163"/>
      <c r="I29" s="163"/>
      <c r="J29" s="163"/>
      <c r="K29" s="162"/>
      <c r="L29" s="162"/>
      <c r="M29" s="162"/>
      <c r="N29" s="162"/>
      <c r="O29" s="162"/>
      <c r="P29" s="162"/>
      <c r="Q29" s="162"/>
      <c r="R29" s="162"/>
      <c r="S29" s="162"/>
      <c r="T29" s="163"/>
      <c r="U29" s="164"/>
      <c r="V29" s="106"/>
    </row>
    <row r="30" spans="1:22" ht="15.5" x14ac:dyDescent="0.35">
      <c r="A30" s="106"/>
      <c r="B30" s="123"/>
      <c r="C30" s="121"/>
      <c r="D30" s="121"/>
      <c r="E30" s="121"/>
      <c r="F30" s="121"/>
      <c r="G30" s="121"/>
      <c r="H30" s="121"/>
      <c r="I30" s="121"/>
      <c r="J30" s="121"/>
      <c r="K30" s="121"/>
      <c r="L30" s="121"/>
      <c r="M30" s="121"/>
      <c r="N30" s="121"/>
      <c r="O30" s="121"/>
      <c r="P30" s="121"/>
      <c r="Q30" s="121"/>
      <c r="R30" s="121"/>
      <c r="S30" s="121"/>
      <c r="T30" s="257" t="s">
        <v>143</v>
      </c>
      <c r="U30" s="258"/>
      <c r="V30" s="106"/>
    </row>
    <row r="31" spans="1:22" ht="15.5" x14ac:dyDescent="0.35">
      <c r="A31" s="106"/>
      <c r="B31" s="123"/>
      <c r="C31" s="121"/>
      <c r="D31" s="121"/>
      <c r="E31" s="121"/>
      <c r="F31" s="121"/>
      <c r="G31" s="121"/>
      <c r="H31" s="121"/>
      <c r="I31" s="121"/>
      <c r="J31" s="121"/>
      <c r="K31" s="121"/>
      <c r="L31" s="121"/>
      <c r="M31" s="121"/>
      <c r="N31" s="121"/>
      <c r="O31" s="121"/>
      <c r="P31" s="121"/>
      <c r="Q31" s="121"/>
      <c r="R31" s="121"/>
      <c r="S31" s="121"/>
      <c r="T31" s="165"/>
      <c r="U31" s="166"/>
      <c r="V31" s="106"/>
    </row>
    <row r="32" spans="1:22" ht="15.5" x14ac:dyDescent="0.35">
      <c r="A32" s="106"/>
      <c r="B32" s="110">
        <v>3</v>
      </c>
      <c r="C32" s="265" t="s">
        <v>215</v>
      </c>
      <c r="D32" s="265"/>
      <c r="E32" s="265"/>
      <c r="F32" s="265"/>
      <c r="G32" s="265"/>
      <c r="H32" s="265"/>
      <c r="I32" s="265"/>
      <c r="J32" s="265"/>
      <c r="K32" s="265"/>
      <c r="L32" s="265"/>
      <c r="M32" s="265"/>
      <c r="N32" s="265"/>
      <c r="O32" s="265"/>
      <c r="P32" s="265"/>
      <c r="Q32" s="265"/>
      <c r="R32" s="265"/>
      <c r="S32" s="265"/>
      <c r="T32" s="265"/>
      <c r="U32" s="266"/>
      <c r="V32" s="106"/>
    </row>
    <row r="33" spans="1:22" ht="15.5" x14ac:dyDescent="0.35">
      <c r="A33" s="106"/>
      <c r="B33" s="123"/>
      <c r="C33" s="121"/>
      <c r="D33" s="121"/>
      <c r="E33" s="121"/>
      <c r="F33" s="121"/>
      <c r="G33" s="121"/>
      <c r="H33" s="121"/>
      <c r="I33" s="121"/>
      <c r="J33" s="121"/>
      <c r="K33" s="121"/>
      <c r="L33" s="121"/>
      <c r="M33" s="121"/>
      <c r="N33" s="121"/>
      <c r="O33" s="121"/>
      <c r="P33" s="121"/>
      <c r="Q33" s="121"/>
      <c r="R33" s="121"/>
      <c r="S33" s="121"/>
      <c r="T33" s="121"/>
      <c r="U33" s="122"/>
      <c r="V33" s="106"/>
    </row>
    <row r="34" spans="1:22" ht="15.5" x14ac:dyDescent="0.35">
      <c r="A34" s="106"/>
      <c r="B34" s="123"/>
      <c r="C34" s="131" t="s">
        <v>84</v>
      </c>
      <c r="D34" s="264" t="s">
        <v>199</v>
      </c>
      <c r="E34" s="264"/>
      <c r="F34" s="264"/>
      <c r="G34" s="264"/>
      <c r="H34" s="264"/>
      <c r="I34" s="264"/>
      <c r="J34" s="264"/>
      <c r="K34" s="264"/>
      <c r="L34" s="264"/>
      <c r="M34" s="264"/>
      <c r="N34" s="264"/>
      <c r="O34" s="264"/>
      <c r="P34" s="264"/>
      <c r="Q34" s="264"/>
      <c r="R34" s="264"/>
      <c r="S34" s="264"/>
      <c r="T34" s="264"/>
      <c r="U34" s="267"/>
      <c r="V34" s="106"/>
    </row>
    <row r="35" spans="1:22" ht="15.5" x14ac:dyDescent="0.35">
      <c r="A35" s="106"/>
      <c r="B35" s="123"/>
      <c r="C35" s="118"/>
      <c r="D35" s="118"/>
      <c r="E35" s="118"/>
      <c r="F35" s="118"/>
      <c r="G35" s="118"/>
      <c r="H35" s="118"/>
      <c r="I35" s="118"/>
      <c r="J35" s="118"/>
      <c r="K35" s="118"/>
      <c r="L35" s="118"/>
      <c r="M35" s="118"/>
      <c r="N35" s="118"/>
      <c r="O35" s="118"/>
      <c r="P35" s="118"/>
      <c r="Q35" s="118"/>
      <c r="R35" s="118"/>
      <c r="S35" s="118"/>
      <c r="T35" s="118"/>
      <c r="U35" s="132"/>
      <c r="V35" s="106"/>
    </row>
    <row r="36" spans="1:22" ht="15.5" x14ac:dyDescent="0.35">
      <c r="A36" s="106"/>
      <c r="B36" s="123"/>
      <c r="C36" s="65"/>
      <c r="D36" s="133" t="s">
        <v>85</v>
      </c>
      <c r="E36" s="264" t="s">
        <v>206</v>
      </c>
      <c r="F36" s="264"/>
      <c r="G36" s="264"/>
      <c r="H36" s="264"/>
      <c r="I36" s="264"/>
      <c r="J36" s="264"/>
      <c r="K36" s="264"/>
      <c r="L36" s="264"/>
      <c r="M36" s="264"/>
      <c r="N36" s="264"/>
      <c r="O36" s="264"/>
      <c r="P36" s="264"/>
      <c r="Q36" s="264"/>
      <c r="R36" s="264"/>
      <c r="S36" s="264"/>
      <c r="T36" s="264"/>
      <c r="U36" s="267"/>
      <c r="V36" s="106"/>
    </row>
    <row r="37" spans="1:22" ht="15.5" x14ac:dyDescent="0.35">
      <c r="A37" s="106"/>
      <c r="B37" s="123"/>
      <c r="C37" s="65"/>
      <c r="D37" s="133" t="s">
        <v>202</v>
      </c>
      <c r="E37" s="264" t="s">
        <v>207</v>
      </c>
      <c r="F37" s="264"/>
      <c r="G37" s="264"/>
      <c r="H37" s="264"/>
      <c r="I37" s="264"/>
      <c r="J37" s="264"/>
      <c r="K37" s="264"/>
      <c r="L37" s="264"/>
      <c r="M37" s="264"/>
      <c r="N37" s="264"/>
      <c r="O37" s="264"/>
      <c r="P37" s="264"/>
      <c r="Q37" s="264"/>
      <c r="R37" s="264"/>
      <c r="S37" s="264"/>
      <c r="T37" s="264"/>
      <c r="U37" s="267"/>
      <c r="V37" s="106"/>
    </row>
    <row r="38" spans="1:22" ht="15.5" x14ac:dyDescent="0.35">
      <c r="A38" s="106"/>
      <c r="B38" s="123"/>
      <c r="C38" s="65"/>
      <c r="D38" s="133" t="s">
        <v>200</v>
      </c>
      <c r="E38" s="264" t="s">
        <v>216</v>
      </c>
      <c r="F38" s="264"/>
      <c r="G38" s="264"/>
      <c r="H38" s="264"/>
      <c r="I38" s="264"/>
      <c r="J38" s="264"/>
      <c r="K38" s="264"/>
      <c r="L38" s="264"/>
      <c r="M38" s="264"/>
      <c r="N38" s="264"/>
      <c r="O38" s="264"/>
      <c r="P38" s="264"/>
      <c r="Q38" s="264"/>
      <c r="R38" s="264"/>
      <c r="S38" s="168"/>
      <c r="T38" s="168"/>
      <c r="U38" s="169"/>
      <c r="V38" s="106"/>
    </row>
    <row r="39" spans="1:22" ht="15.5" x14ac:dyDescent="0.35">
      <c r="A39" s="106"/>
      <c r="B39" s="123"/>
      <c r="C39" s="65"/>
      <c r="D39" s="133" t="s">
        <v>201</v>
      </c>
      <c r="E39" s="264" t="s">
        <v>208</v>
      </c>
      <c r="F39" s="264"/>
      <c r="G39" s="264"/>
      <c r="H39" s="264"/>
      <c r="I39" s="264"/>
      <c r="J39" s="264"/>
      <c r="K39" s="264"/>
      <c r="L39" s="264"/>
      <c r="M39" s="264"/>
      <c r="N39" s="264"/>
      <c r="O39" s="264"/>
      <c r="P39" s="264"/>
      <c r="Q39" s="264"/>
      <c r="R39" s="264"/>
      <c r="S39" s="264"/>
      <c r="T39" s="118"/>
      <c r="U39" s="132"/>
      <c r="V39" s="106"/>
    </row>
    <row r="40" spans="1:22" ht="15.5" x14ac:dyDescent="0.35">
      <c r="A40" s="106"/>
      <c r="B40" s="123"/>
      <c r="C40" s="65"/>
      <c r="D40" s="133"/>
      <c r="E40" s="170"/>
      <c r="F40" s="170"/>
      <c r="G40" s="170"/>
      <c r="H40" s="170"/>
      <c r="I40" s="170"/>
      <c r="J40" s="170"/>
      <c r="K40" s="170"/>
      <c r="L40" s="170"/>
      <c r="M40" s="170"/>
      <c r="N40" s="170"/>
      <c r="O40" s="170"/>
      <c r="P40" s="170"/>
      <c r="Q40" s="170"/>
      <c r="R40" s="170"/>
      <c r="S40" s="170"/>
      <c r="T40" s="118"/>
      <c r="U40" s="132"/>
      <c r="V40" s="106"/>
    </row>
    <row r="41" spans="1:22" ht="15.5" x14ac:dyDescent="0.35">
      <c r="A41" s="106"/>
      <c r="B41" s="123"/>
      <c r="C41" s="171" t="s">
        <v>84</v>
      </c>
      <c r="D41" s="264" t="s">
        <v>209</v>
      </c>
      <c r="E41" s="264"/>
      <c r="F41" s="264"/>
      <c r="G41" s="264"/>
      <c r="H41" s="264"/>
      <c r="I41" s="264"/>
      <c r="J41" s="264"/>
      <c r="K41" s="264"/>
      <c r="L41" s="264"/>
      <c r="M41" s="264"/>
      <c r="N41" s="264"/>
      <c r="O41" s="264"/>
      <c r="P41" s="264"/>
      <c r="Q41" s="264"/>
      <c r="R41" s="264"/>
      <c r="S41" s="264"/>
      <c r="T41" s="264"/>
      <c r="U41" s="132"/>
      <c r="V41" s="106"/>
    </row>
    <row r="42" spans="1:22" ht="15.5" x14ac:dyDescent="0.35">
      <c r="A42" s="106"/>
      <c r="B42" s="123"/>
      <c r="C42" s="118"/>
      <c r="D42" s="118"/>
      <c r="E42" s="118"/>
      <c r="F42" s="118"/>
      <c r="G42" s="118"/>
      <c r="H42" s="118"/>
      <c r="I42" s="118"/>
      <c r="J42" s="118"/>
      <c r="K42" s="118"/>
      <c r="L42" s="118"/>
      <c r="M42" s="118"/>
      <c r="N42" s="118"/>
      <c r="O42" s="118"/>
      <c r="P42" s="118"/>
      <c r="Q42" s="118"/>
      <c r="R42" s="118"/>
      <c r="S42" s="118"/>
      <c r="T42" s="118"/>
      <c r="U42" s="132"/>
      <c r="V42" s="106"/>
    </row>
    <row r="43" spans="1:22" ht="15.5" x14ac:dyDescent="0.35">
      <c r="A43" s="106"/>
      <c r="B43" s="123"/>
      <c r="C43" s="131" t="s">
        <v>84</v>
      </c>
      <c r="D43" s="251" t="s">
        <v>195</v>
      </c>
      <c r="E43" s="251"/>
      <c r="F43" s="251"/>
      <c r="G43" s="251"/>
      <c r="H43" s="251"/>
      <c r="I43" s="251"/>
      <c r="J43" s="251"/>
      <c r="K43" s="251"/>
      <c r="L43" s="251"/>
      <c r="M43" s="251"/>
      <c r="N43" s="251"/>
      <c r="O43" s="251"/>
      <c r="P43" s="251"/>
      <c r="Q43" s="251"/>
      <c r="R43" s="251"/>
      <c r="S43" s="251"/>
      <c r="T43" s="251"/>
      <c r="U43" s="252"/>
      <c r="V43" s="106"/>
    </row>
    <row r="44" spans="1:22" ht="15.5" x14ac:dyDescent="0.35">
      <c r="A44" s="106"/>
      <c r="B44" s="123"/>
      <c r="C44" s="134"/>
      <c r="D44" s="251"/>
      <c r="E44" s="251"/>
      <c r="F44" s="251"/>
      <c r="G44" s="251"/>
      <c r="H44" s="251"/>
      <c r="I44" s="251"/>
      <c r="J44" s="251"/>
      <c r="K44" s="251"/>
      <c r="L44" s="251"/>
      <c r="M44" s="251"/>
      <c r="N44" s="251"/>
      <c r="O44" s="251"/>
      <c r="P44" s="251"/>
      <c r="Q44" s="251"/>
      <c r="R44" s="251"/>
      <c r="S44" s="251"/>
      <c r="T44" s="251"/>
      <c r="U44" s="252"/>
      <c r="V44" s="106"/>
    </row>
    <row r="45" spans="1:22" ht="15.5" x14ac:dyDescent="0.35">
      <c r="A45" s="106"/>
      <c r="B45" s="123"/>
      <c r="C45" s="118"/>
      <c r="D45" s="251"/>
      <c r="E45" s="251"/>
      <c r="F45" s="251"/>
      <c r="G45" s="251"/>
      <c r="H45" s="251"/>
      <c r="I45" s="251"/>
      <c r="J45" s="251"/>
      <c r="K45" s="251"/>
      <c r="L45" s="251"/>
      <c r="M45" s="251"/>
      <c r="N45" s="251"/>
      <c r="O45" s="251"/>
      <c r="P45" s="251"/>
      <c r="Q45" s="251"/>
      <c r="R45" s="251"/>
      <c r="S45" s="251"/>
      <c r="T45" s="251"/>
      <c r="U45" s="252"/>
      <c r="V45" s="106"/>
    </row>
    <row r="46" spans="1:22" ht="15.5" x14ac:dyDescent="0.35">
      <c r="A46" s="106"/>
      <c r="B46" s="123"/>
      <c r="C46" s="118"/>
      <c r="D46" s="135"/>
      <c r="E46" s="135"/>
      <c r="F46" s="135"/>
      <c r="G46" s="135"/>
      <c r="H46" s="135"/>
      <c r="I46" s="135"/>
      <c r="J46" s="135"/>
      <c r="K46" s="135"/>
      <c r="L46" s="135"/>
      <c r="M46" s="135"/>
      <c r="N46" s="135"/>
      <c r="O46" s="135"/>
      <c r="P46" s="135"/>
      <c r="Q46" s="135"/>
      <c r="R46" s="135"/>
      <c r="S46" s="135"/>
      <c r="T46" s="135"/>
      <c r="U46" s="136"/>
      <c r="V46" s="106"/>
    </row>
    <row r="47" spans="1:22" ht="15.5" x14ac:dyDescent="0.35">
      <c r="A47" s="106"/>
      <c r="B47" s="123"/>
      <c r="C47" s="253" t="s">
        <v>70</v>
      </c>
      <c r="D47" s="253"/>
      <c r="E47" s="253"/>
      <c r="F47" s="253"/>
      <c r="G47" s="253"/>
      <c r="H47" s="65"/>
      <c r="I47" s="135"/>
      <c r="J47" s="135"/>
      <c r="K47" s="135"/>
      <c r="L47" s="135"/>
      <c r="M47" s="135"/>
      <c r="N47" s="135"/>
      <c r="O47" s="135"/>
      <c r="P47" s="135"/>
      <c r="Q47" s="135"/>
      <c r="R47" s="135"/>
      <c r="S47" s="135"/>
      <c r="T47" s="135"/>
      <c r="U47" s="136"/>
      <c r="V47" s="106"/>
    </row>
    <row r="48" spans="1:22" ht="15.5" x14ac:dyDescent="0.35">
      <c r="A48" s="106"/>
      <c r="B48" s="123"/>
      <c r="C48" s="137"/>
      <c r="D48" s="137"/>
      <c r="E48" s="137"/>
      <c r="F48" s="137"/>
      <c r="G48" s="137"/>
      <c r="H48" s="135"/>
      <c r="I48" s="135"/>
      <c r="J48" s="135"/>
      <c r="K48" s="135"/>
      <c r="L48" s="135"/>
      <c r="M48" s="135"/>
      <c r="N48" s="135"/>
      <c r="O48" s="135"/>
      <c r="P48" s="135"/>
      <c r="Q48" s="135"/>
      <c r="R48" s="135"/>
      <c r="S48" s="135"/>
      <c r="T48" s="135"/>
      <c r="U48" s="136"/>
      <c r="V48" s="106"/>
    </row>
    <row r="49" spans="1:22" ht="15.5" x14ac:dyDescent="0.35">
      <c r="A49" s="106"/>
      <c r="B49" s="123"/>
      <c r="C49" s="131" t="s">
        <v>84</v>
      </c>
      <c r="D49" s="251" t="s">
        <v>86</v>
      </c>
      <c r="E49" s="251"/>
      <c r="F49" s="251"/>
      <c r="G49" s="251"/>
      <c r="H49" s="251"/>
      <c r="I49" s="251"/>
      <c r="J49" s="251"/>
      <c r="K49" s="251"/>
      <c r="L49" s="251"/>
      <c r="M49" s="251"/>
      <c r="N49" s="251"/>
      <c r="O49" s="251"/>
      <c r="P49" s="251"/>
      <c r="Q49" s="251"/>
      <c r="R49" s="251"/>
      <c r="S49" s="251"/>
      <c r="T49" s="251"/>
      <c r="U49" s="252"/>
      <c r="V49" s="106"/>
    </row>
    <row r="50" spans="1:22" ht="15.5" x14ac:dyDescent="0.35">
      <c r="A50" s="106"/>
      <c r="B50" s="123"/>
      <c r="C50" s="134"/>
      <c r="D50" s="134"/>
      <c r="E50" s="134"/>
      <c r="F50" s="118"/>
      <c r="G50" s="118"/>
      <c r="H50" s="118"/>
      <c r="I50" s="118"/>
      <c r="J50" s="118"/>
      <c r="K50" s="118"/>
      <c r="L50" s="118"/>
      <c r="M50" s="118"/>
      <c r="N50" s="118"/>
      <c r="O50" s="118"/>
      <c r="P50" s="118"/>
      <c r="Q50" s="118"/>
      <c r="R50" s="118"/>
      <c r="S50" s="118"/>
      <c r="T50" s="118"/>
      <c r="U50" s="132"/>
      <c r="V50" s="106"/>
    </row>
    <row r="51" spans="1:22" ht="15.5" x14ac:dyDescent="0.35">
      <c r="A51" s="106"/>
      <c r="B51" s="123"/>
      <c r="C51" s="240" t="s">
        <v>72</v>
      </c>
      <c r="D51" s="240"/>
      <c r="E51" s="240"/>
      <c r="F51" s="240"/>
      <c r="G51" s="240"/>
      <c r="H51" s="240"/>
      <c r="I51" s="240"/>
      <c r="J51" s="240"/>
      <c r="K51" s="118"/>
      <c r="L51" s="118"/>
      <c r="M51" s="118"/>
      <c r="N51" s="118"/>
      <c r="O51" s="118"/>
      <c r="P51" s="118"/>
      <c r="Q51" s="118"/>
      <c r="R51" s="118"/>
      <c r="S51" s="118"/>
      <c r="T51" s="257" t="s">
        <v>143</v>
      </c>
      <c r="U51" s="258"/>
      <c r="V51" s="106"/>
    </row>
    <row r="52" spans="1:22" ht="15.5" x14ac:dyDescent="0.35">
      <c r="A52" s="106"/>
      <c r="B52" s="138"/>
      <c r="C52" s="118"/>
      <c r="D52" s="118"/>
      <c r="E52" s="118"/>
      <c r="F52" s="118"/>
      <c r="G52" s="118"/>
      <c r="H52" s="118"/>
      <c r="I52" s="118"/>
      <c r="J52" s="118"/>
      <c r="K52" s="118"/>
      <c r="L52" s="118"/>
      <c r="M52" s="118"/>
      <c r="N52" s="118"/>
      <c r="O52" s="118"/>
      <c r="P52" s="118"/>
      <c r="Q52" s="118"/>
      <c r="R52" s="118"/>
      <c r="S52" s="118"/>
      <c r="T52" s="118"/>
      <c r="U52" s="132"/>
      <c r="V52" s="106"/>
    </row>
    <row r="53" spans="1:22" ht="15.5" x14ac:dyDescent="0.35">
      <c r="A53" s="106"/>
      <c r="B53" s="110">
        <v>4</v>
      </c>
      <c r="C53" s="265" t="s">
        <v>212</v>
      </c>
      <c r="D53" s="265"/>
      <c r="E53" s="265"/>
      <c r="F53" s="265"/>
      <c r="G53" s="265"/>
      <c r="H53" s="265"/>
      <c r="I53" s="265"/>
      <c r="J53" s="265"/>
      <c r="K53" s="265"/>
      <c r="L53" s="265"/>
      <c r="M53" s="265"/>
      <c r="N53" s="265"/>
      <c r="O53" s="265"/>
      <c r="P53" s="265"/>
      <c r="Q53" s="265"/>
      <c r="R53" s="265"/>
      <c r="S53" s="265"/>
      <c r="T53" s="265"/>
      <c r="U53" s="266"/>
      <c r="V53" s="106"/>
    </row>
    <row r="54" spans="1:22" ht="15.5" x14ac:dyDescent="0.35">
      <c r="A54" s="106"/>
      <c r="B54" s="138"/>
      <c r="C54" s="121"/>
      <c r="D54" s="121"/>
      <c r="E54" s="121"/>
      <c r="F54" s="121"/>
      <c r="G54" s="121"/>
      <c r="H54" s="121"/>
      <c r="I54" s="121"/>
      <c r="J54" s="121"/>
      <c r="K54" s="121"/>
      <c r="L54" s="121"/>
      <c r="M54" s="121"/>
      <c r="N54" s="121"/>
      <c r="O54" s="121"/>
      <c r="P54" s="121"/>
      <c r="Q54" s="121"/>
      <c r="R54" s="121"/>
      <c r="S54" s="121"/>
      <c r="T54" s="121"/>
      <c r="U54" s="122"/>
      <c r="V54" s="106"/>
    </row>
    <row r="55" spans="1:22" ht="15.5" x14ac:dyDescent="0.35">
      <c r="A55" s="106"/>
      <c r="B55" s="138"/>
      <c r="C55" s="217" t="s">
        <v>84</v>
      </c>
      <c r="D55" s="284" t="s">
        <v>218</v>
      </c>
      <c r="E55" s="284"/>
      <c r="F55" s="284"/>
      <c r="G55" s="284"/>
      <c r="H55" s="284"/>
      <c r="I55" s="284"/>
      <c r="J55" s="284"/>
      <c r="K55" s="284"/>
      <c r="L55" s="284"/>
      <c r="M55" s="284"/>
      <c r="N55" s="284"/>
      <c r="O55" s="284"/>
      <c r="P55" s="284"/>
      <c r="Q55" s="284"/>
      <c r="R55" s="284"/>
      <c r="S55" s="284"/>
      <c r="T55" s="284"/>
      <c r="U55" s="122"/>
      <c r="V55" s="106"/>
    </row>
    <row r="56" spans="1:22" ht="15.5" x14ac:dyDescent="0.35">
      <c r="A56" s="106"/>
      <c r="B56" s="138"/>
      <c r="C56" s="121"/>
      <c r="D56" s="121"/>
      <c r="E56" s="121"/>
      <c r="F56" s="121"/>
      <c r="G56" s="121"/>
      <c r="H56" s="121"/>
      <c r="I56" s="121"/>
      <c r="J56" s="121"/>
      <c r="K56" s="121"/>
      <c r="L56" s="121"/>
      <c r="M56" s="121"/>
      <c r="N56" s="121"/>
      <c r="O56" s="121"/>
      <c r="P56" s="121"/>
      <c r="Q56" s="121"/>
      <c r="R56" s="121"/>
      <c r="S56" s="121"/>
      <c r="T56" s="121"/>
      <c r="U56" s="122"/>
      <c r="V56" s="106"/>
    </row>
    <row r="57" spans="1:22" ht="15.5" x14ac:dyDescent="0.35">
      <c r="A57" s="106"/>
      <c r="B57" s="138"/>
      <c r="C57" s="131" t="s">
        <v>84</v>
      </c>
      <c r="D57" s="277" t="s">
        <v>213</v>
      </c>
      <c r="E57" s="277"/>
      <c r="F57" s="277"/>
      <c r="G57" s="277"/>
      <c r="H57" s="277"/>
      <c r="I57" s="277"/>
      <c r="J57" s="277"/>
      <c r="K57" s="277"/>
      <c r="L57" s="277"/>
      <c r="M57" s="277"/>
      <c r="N57" s="277"/>
      <c r="O57" s="277"/>
      <c r="P57" s="277"/>
      <c r="Q57" s="277"/>
      <c r="R57" s="277"/>
      <c r="S57" s="277"/>
      <c r="T57" s="277"/>
      <c r="U57" s="223"/>
      <c r="V57" s="106"/>
    </row>
    <row r="58" spans="1:22" ht="15.5" x14ac:dyDescent="0.35">
      <c r="A58" s="106"/>
      <c r="B58" s="138"/>
      <c r="C58" s="217"/>
      <c r="D58" s="277"/>
      <c r="E58" s="277"/>
      <c r="F58" s="277"/>
      <c r="G58" s="277"/>
      <c r="H58" s="277"/>
      <c r="I58" s="277"/>
      <c r="J58" s="277"/>
      <c r="K58" s="277"/>
      <c r="L58" s="277"/>
      <c r="M58" s="277"/>
      <c r="N58" s="277"/>
      <c r="O58" s="277"/>
      <c r="P58" s="277"/>
      <c r="Q58" s="277"/>
      <c r="R58" s="277"/>
      <c r="S58" s="277"/>
      <c r="T58" s="277"/>
      <c r="U58" s="218"/>
      <c r="V58" s="106"/>
    </row>
    <row r="59" spans="1:22" ht="15.5" x14ac:dyDescent="0.35">
      <c r="A59" s="106"/>
      <c r="B59" s="138"/>
      <c r="C59" s="118"/>
      <c r="D59" s="118"/>
      <c r="E59" s="118"/>
      <c r="F59" s="118"/>
      <c r="G59" s="118"/>
      <c r="H59" s="118"/>
      <c r="I59" s="118"/>
      <c r="J59" s="118"/>
      <c r="K59" s="118"/>
      <c r="L59" s="118"/>
      <c r="M59" s="118"/>
      <c r="N59" s="118"/>
      <c r="O59" s="118"/>
      <c r="P59" s="118"/>
      <c r="Q59" s="118"/>
      <c r="R59" s="118"/>
      <c r="S59" s="118"/>
      <c r="T59" s="118"/>
      <c r="U59" s="132"/>
      <c r="V59" s="106"/>
    </row>
    <row r="60" spans="1:22" ht="15.5" x14ac:dyDescent="0.35">
      <c r="A60" s="106"/>
      <c r="B60" s="138"/>
      <c r="C60" s="131" t="s">
        <v>84</v>
      </c>
      <c r="D60" s="277" t="s">
        <v>214</v>
      </c>
      <c r="E60" s="277"/>
      <c r="F60" s="277"/>
      <c r="G60" s="277"/>
      <c r="H60" s="277"/>
      <c r="I60" s="277"/>
      <c r="J60" s="277"/>
      <c r="K60" s="277"/>
      <c r="L60" s="277"/>
      <c r="M60" s="277"/>
      <c r="N60" s="277"/>
      <c r="O60" s="277"/>
      <c r="P60" s="277"/>
      <c r="Q60" s="277"/>
      <c r="R60" s="277"/>
      <c r="S60" s="277"/>
      <c r="T60" s="277"/>
      <c r="U60" s="223"/>
      <c r="V60" s="106"/>
    </row>
    <row r="61" spans="1:22" ht="15.5" x14ac:dyDescent="0.35">
      <c r="A61" s="106"/>
      <c r="B61" s="138"/>
      <c r="C61" s="217"/>
      <c r="D61" s="277"/>
      <c r="E61" s="277"/>
      <c r="F61" s="277"/>
      <c r="G61" s="277"/>
      <c r="H61" s="277"/>
      <c r="I61" s="277"/>
      <c r="J61" s="277"/>
      <c r="K61" s="277"/>
      <c r="L61" s="277"/>
      <c r="M61" s="277"/>
      <c r="N61" s="277"/>
      <c r="O61" s="277"/>
      <c r="P61" s="277"/>
      <c r="Q61" s="277"/>
      <c r="R61" s="277"/>
      <c r="S61" s="277"/>
      <c r="T61" s="277"/>
      <c r="U61" s="218"/>
      <c r="V61" s="106"/>
    </row>
    <row r="62" spans="1:22" ht="15.5" x14ac:dyDescent="0.35">
      <c r="A62" s="106"/>
      <c r="B62" s="138"/>
      <c r="C62" s="118"/>
      <c r="D62" s="118"/>
      <c r="E62" s="118"/>
      <c r="F62" s="118"/>
      <c r="G62" s="118"/>
      <c r="H62" s="118"/>
      <c r="I62" s="118"/>
      <c r="J62" s="118"/>
      <c r="K62" s="118"/>
      <c r="L62" s="118"/>
      <c r="M62" s="118"/>
      <c r="N62" s="118"/>
      <c r="O62" s="118"/>
      <c r="P62" s="118"/>
      <c r="Q62" s="118"/>
      <c r="R62" s="118"/>
      <c r="S62" s="118"/>
      <c r="T62" s="118"/>
      <c r="U62" s="132"/>
      <c r="V62" s="106"/>
    </row>
    <row r="63" spans="1:22" ht="15.5" x14ac:dyDescent="0.35">
      <c r="A63" s="106"/>
      <c r="B63" s="138"/>
      <c r="C63" s="65"/>
      <c r="D63" s="133" t="s">
        <v>88</v>
      </c>
      <c r="E63" s="264" t="s">
        <v>87</v>
      </c>
      <c r="F63" s="264"/>
      <c r="G63" s="264"/>
      <c r="H63" s="264"/>
      <c r="I63" s="264"/>
      <c r="J63" s="118"/>
      <c r="K63" s="118"/>
      <c r="L63" s="118"/>
      <c r="M63" s="118"/>
      <c r="N63" s="118"/>
      <c r="O63" s="118"/>
      <c r="P63" s="118"/>
      <c r="Q63" s="118"/>
      <c r="R63" s="118"/>
      <c r="S63" s="118"/>
      <c r="T63" s="118"/>
      <c r="U63" s="132"/>
      <c r="V63" s="106"/>
    </row>
    <row r="64" spans="1:22" ht="15.5" x14ac:dyDescent="0.35">
      <c r="A64" s="106"/>
      <c r="B64" s="138"/>
      <c r="C64" s="65"/>
      <c r="D64" s="133" t="s">
        <v>90</v>
      </c>
      <c r="E64" s="264" t="s">
        <v>89</v>
      </c>
      <c r="F64" s="264"/>
      <c r="G64" s="264"/>
      <c r="H64" s="264"/>
      <c r="I64" s="264"/>
      <c r="J64" s="118"/>
      <c r="K64" s="118"/>
      <c r="L64" s="118"/>
      <c r="M64" s="118"/>
      <c r="N64" s="118"/>
      <c r="O64" s="118"/>
      <c r="P64" s="118"/>
      <c r="Q64" s="118"/>
      <c r="R64" s="118"/>
      <c r="S64" s="118"/>
      <c r="T64" s="118"/>
      <c r="U64" s="132"/>
      <c r="V64" s="106"/>
    </row>
    <row r="65" spans="1:22" ht="15.5" x14ac:dyDescent="0.35">
      <c r="A65" s="106"/>
      <c r="B65" s="138"/>
      <c r="C65" s="65"/>
      <c r="D65" s="133" t="s">
        <v>91</v>
      </c>
      <c r="E65" s="264" t="s">
        <v>237</v>
      </c>
      <c r="F65" s="264"/>
      <c r="G65" s="264"/>
      <c r="H65" s="264"/>
      <c r="I65" s="264"/>
      <c r="J65" s="118"/>
      <c r="K65" s="118"/>
      <c r="L65" s="118"/>
      <c r="M65" s="118"/>
      <c r="N65" s="118"/>
      <c r="O65" s="118"/>
      <c r="P65" s="118"/>
      <c r="Q65" s="118"/>
      <c r="R65" s="118"/>
      <c r="S65" s="118"/>
      <c r="T65" s="118"/>
      <c r="U65" s="132"/>
      <c r="V65" s="106"/>
    </row>
    <row r="66" spans="1:22" ht="15.5" x14ac:dyDescent="0.35">
      <c r="A66" s="106"/>
      <c r="B66" s="138"/>
      <c r="C66" s="65"/>
      <c r="D66" s="133" t="s">
        <v>93</v>
      </c>
      <c r="E66" s="264" t="s">
        <v>92</v>
      </c>
      <c r="F66" s="264"/>
      <c r="G66" s="264"/>
      <c r="H66" s="264"/>
      <c r="I66" s="264"/>
      <c r="J66" s="118"/>
      <c r="K66" s="118"/>
      <c r="L66" s="118"/>
      <c r="M66" s="118"/>
      <c r="N66" s="118"/>
      <c r="O66" s="118"/>
      <c r="P66" s="118"/>
      <c r="Q66" s="118"/>
      <c r="R66" s="118"/>
      <c r="S66" s="118"/>
      <c r="T66" s="118"/>
      <c r="U66" s="132"/>
      <c r="V66" s="106"/>
    </row>
    <row r="67" spans="1:22" ht="15.5" x14ac:dyDescent="0.35">
      <c r="A67" s="106"/>
      <c r="B67" s="138"/>
      <c r="C67" s="118"/>
      <c r="D67" s="118"/>
      <c r="E67" s="118"/>
      <c r="F67" s="118"/>
      <c r="G67" s="118"/>
      <c r="H67" s="118"/>
      <c r="I67" s="118"/>
      <c r="J67" s="118"/>
      <c r="K67" s="118"/>
      <c r="L67" s="118"/>
      <c r="M67" s="118"/>
      <c r="N67" s="118"/>
      <c r="O67" s="118"/>
      <c r="P67" s="118"/>
      <c r="Q67" s="118"/>
      <c r="R67" s="118"/>
      <c r="S67" s="118"/>
      <c r="T67" s="118"/>
      <c r="U67" s="132"/>
      <c r="V67" s="106"/>
    </row>
    <row r="68" spans="1:22" ht="15.5" x14ac:dyDescent="0.35">
      <c r="A68" s="106"/>
      <c r="B68" s="138"/>
      <c r="C68" s="131" t="s">
        <v>84</v>
      </c>
      <c r="D68" s="264" t="s">
        <v>217</v>
      </c>
      <c r="E68" s="264"/>
      <c r="F68" s="264"/>
      <c r="G68" s="264"/>
      <c r="H68" s="264"/>
      <c r="I68" s="264"/>
      <c r="J68" s="264"/>
      <c r="K68" s="264"/>
      <c r="L68" s="264"/>
      <c r="M68" s="264"/>
      <c r="N68" s="264"/>
      <c r="O68" s="264"/>
      <c r="P68" s="264"/>
      <c r="Q68" s="264"/>
      <c r="R68" s="264"/>
      <c r="S68" s="264"/>
      <c r="T68" s="264"/>
      <c r="U68" s="267"/>
      <c r="V68" s="106"/>
    </row>
    <row r="69" spans="1:22" ht="15.5" x14ac:dyDescent="0.35">
      <c r="A69" s="106"/>
      <c r="B69" s="138"/>
      <c r="C69" s="118"/>
      <c r="D69" s="118"/>
      <c r="E69" s="118"/>
      <c r="F69" s="118"/>
      <c r="G69" s="118"/>
      <c r="H69" s="118"/>
      <c r="I69" s="118"/>
      <c r="J69" s="118"/>
      <c r="K69" s="118"/>
      <c r="L69" s="118"/>
      <c r="M69" s="118"/>
      <c r="N69" s="118"/>
      <c r="O69" s="118"/>
      <c r="P69" s="118"/>
      <c r="Q69" s="118"/>
      <c r="R69" s="118"/>
      <c r="S69" s="118"/>
      <c r="T69" s="118"/>
      <c r="U69" s="132"/>
      <c r="V69" s="106"/>
    </row>
    <row r="70" spans="1:22" ht="15.5" x14ac:dyDescent="0.35">
      <c r="A70" s="106"/>
      <c r="B70" s="138"/>
      <c r="C70" s="131" t="s">
        <v>84</v>
      </c>
      <c r="D70" s="277" t="s">
        <v>150</v>
      </c>
      <c r="E70" s="277"/>
      <c r="F70" s="277"/>
      <c r="G70" s="277"/>
      <c r="H70" s="277"/>
      <c r="I70" s="277"/>
      <c r="J70" s="277"/>
      <c r="K70" s="277"/>
      <c r="L70" s="277"/>
      <c r="M70" s="277"/>
      <c r="N70" s="277"/>
      <c r="O70" s="277"/>
      <c r="P70" s="277"/>
      <c r="Q70" s="277"/>
      <c r="R70" s="277"/>
      <c r="S70" s="277"/>
      <c r="T70" s="277"/>
      <c r="U70" s="278"/>
      <c r="V70" s="106"/>
    </row>
    <row r="71" spans="1:22" ht="15.5" x14ac:dyDescent="0.35">
      <c r="A71" s="106"/>
      <c r="B71" s="138"/>
      <c r="C71" s="65"/>
      <c r="D71" s="277"/>
      <c r="E71" s="277"/>
      <c r="F71" s="277"/>
      <c r="G71" s="277"/>
      <c r="H71" s="277"/>
      <c r="I71" s="277"/>
      <c r="J71" s="277"/>
      <c r="K71" s="277"/>
      <c r="L71" s="277"/>
      <c r="M71" s="277"/>
      <c r="N71" s="277"/>
      <c r="O71" s="277"/>
      <c r="P71" s="277"/>
      <c r="Q71" s="277"/>
      <c r="R71" s="277"/>
      <c r="S71" s="277"/>
      <c r="T71" s="277"/>
      <c r="U71" s="278"/>
      <c r="V71" s="106"/>
    </row>
    <row r="72" spans="1:22" ht="15.5" x14ac:dyDescent="0.35">
      <c r="A72" s="106"/>
      <c r="B72" s="138"/>
      <c r="C72" s="279"/>
      <c r="D72" s="279"/>
      <c r="E72" s="118"/>
      <c r="F72" s="118"/>
      <c r="G72" s="118"/>
      <c r="H72" s="118"/>
      <c r="I72" s="118"/>
      <c r="J72" s="118"/>
      <c r="K72" s="118"/>
      <c r="L72" s="118"/>
      <c r="M72" s="118"/>
      <c r="N72" s="118"/>
      <c r="O72" s="118"/>
      <c r="P72" s="118"/>
      <c r="Q72" s="118"/>
      <c r="R72" s="118"/>
      <c r="S72" s="118"/>
      <c r="T72" s="257" t="s">
        <v>143</v>
      </c>
      <c r="U72" s="258"/>
      <c r="V72" s="106"/>
    </row>
    <row r="73" spans="1:22" ht="15.5" x14ac:dyDescent="0.35">
      <c r="A73" s="106"/>
      <c r="B73" s="138"/>
      <c r="C73" s="121"/>
      <c r="D73" s="121"/>
      <c r="E73" s="121"/>
      <c r="F73" s="121"/>
      <c r="G73" s="121"/>
      <c r="H73" s="121"/>
      <c r="I73" s="121"/>
      <c r="J73" s="121"/>
      <c r="K73" s="121"/>
      <c r="L73" s="121"/>
      <c r="M73" s="121"/>
      <c r="N73" s="121"/>
      <c r="O73" s="121"/>
      <c r="P73" s="121"/>
      <c r="Q73" s="121"/>
      <c r="R73" s="121"/>
      <c r="S73" s="121"/>
      <c r="T73" s="121"/>
      <c r="U73" s="122"/>
      <c r="V73" s="106"/>
    </row>
    <row r="74" spans="1:22" ht="15.5" x14ac:dyDescent="0.35">
      <c r="A74" s="106"/>
      <c r="B74" s="110">
        <v>5</v>
      </c>
      <c r="C74" s="265" t="s">
        <v>203</v>
      </c>
      <c r="D74" s="265"/>
      <c r="E74" s="265"/>
      <c r="F74" s="265"/>
      <c r="G74" s="265"/>
      <c r="H74" s="265"/>
      <c r="I74" s="265"/>
      <c r="J74" s="265"/>
      <c r="K74" s="265"/>
      <c r="L74" s="265"/>
      <c r="M74" s="265"/>
      <c r="N74" s="265"/>
      <c r="O74" s="265"/>
      <c r="P74" s="265"/>
      <c r="Q74" s="265"/>
      <c r="R74" s="265"/>
      <c r="S74" s="265"/>
      <c r="T74" s="265"/>
      <c r="U74" s="266"/>
      <c r="V74" s="106"/>
    </row>
    <row r="75" spans="1:22" ht="15.5" x14ac:dyDescent="0.35">
      <c r="A75" s="106"/>
      <c r="B75" s="138"/>
      <c r="C75" s="121"/>
      <c r="D75" s="121"/>
      <c r="E75" s="121"/>
      <c r="F75" s="121"/>
      <c r="G75" s="121"/>
      <c r="H75" s="121"/>
      <c r="I75" s="121"/>
      <c r="J75" s="121"/>
      <c r="K75" s="121"/>
      <c r="L75" s="121"/>
      <c r="M75" s="121"/>
      <c r="N75" s="121"/>
      <c r="O75" s="121"/>
      <c r="P75" s="121"/>
      <c r="Q75" s="121"/>
      <c r="R75" s="121"/>
      <c r="S75" s="121"/>
      <c r="T75" s="121"/>
      <c r="U75" s="122"/>
      <c r="V75" s="106"/>
    </row>
    <row r="76" spans="1:22" ht="15.5" x14ac:dyDescent="0.35">
      <c r="A76" s="106"/>
      <c r="B76" s="139"/>
      <c r="C76" s="131" t="s">
        <v>84</v>
      </c>
      <c r="D76" s="277" t="s">
        <v>161</v>
      </c>
      <c r="E76" s="277"/>
      <c r="F76" s="277"/>
      <c r="G76" s="277"/>
      <c r="H76" s="277"/>
      <c r="I76" s="277"/>
      <c r="J76" s="277"/>
      <c r="K76" s="277"/>
      <c r="L76" s="277"/>
      <c r="M76" s="277"/>
      <c r="N76" s="277"/>
      <c r="O76" s="277"/>
      <c r="P76" s="277"/>
      <c r="Q76" s="277"/>
      <c r="R76" s="277"/>
      <c r="S76" s="277"/>
      <c r="T76" s="277"/>
      <c r="U76" s="278"/>
      <c r="V76" s="106"/>
    </row>
    <row r="77" spans="1:22" ht="15.5" x14ac:dyDescent="0.35">
      <c r="A77" s="106"/>
      <c r="B77" s="140"/>
      <c r="C77" s="118"/>
      <c r="D77" s="277"/>
      <c r="E77" s="277"/>
      <c r="F77" s="277"/>
      <c r="G77" s="277"/>
      <c r="H77" s="277"/>
      <c r="I77" s="277"/>
      <c r="J77" s="277"/>
      <c r="K77" s="277"/>
      <c r="L77" s="277"/>
      <c r="M77" s="277"/>
      <c r="N77" s="277"/>
      <c r="O77" s="277"/>
      <c r="P77" s="277"/>
      <c r="Q77" s="277"/>
      <c r="R77" s="277"/>
      <c r="S77" s="277"/>
      <c r="T77" s="277"/>
      <c r="U77" s="278"/>
      <c r="V77" s="106"/>
    </row>
    <row r="78" spans="1:22" ht="15.5" x14ac:dyDescent="0.35">
      <c r="A78" s="106"/>
      <c r="B78" s="139"/>
      <c r="C78" s="131"/>
      <c r="D78" s="280"/>
      <c r="E78" s="280"/>
      <c r="F78" s="280"/>
      <c r="G78" s="280"/>
      <c r="H78" s="280"/>
      <c r="I78" s="280"/>
      <c r="J78" s="280"/>
      <c r="K78" s="280"/>
      <c r="L78" s="280"/>
      <c r="M78" s="280"/>
      <c r="N78" s="280"/>
      <c r="O78" s="280"/>
      <c r="P78" s="280"/>
      <c r="Q78" s="280"/>
      <c r="R78" s="280"/>
      <c r="S78" s="280"/>
      <c r="T78" s="280"/>
      <c r="U78" s="281"/>
      <c r="V78" s="106"/>
    </row>
    <row r="79" spans="1:22" ht="15.5" x14ac:dyDescent="0.35">
      <c r="A79" s="106"/>
      <c r="B79" s="140"/>
      <c r="C79" s="131" t="s">
        <v>84</v>
      </c>
      <c r="D79" s="277" t="s">
        <v>240</v>
      </c>
      <c r="E79" s="277"/>
      <c r="F79" s="277"/>
      <c r="G79" s="277"/>
      <c r="H79" s="277"/>
      <c r="I79" s="277"/>
      <c r="J79" s="277"/>
      <c r="K79" s="277"/>
      <c r="L79" s="277"/>
      <c r="M79" s="277"/>
      <c r="N79" s="277"/>
      <c r="O79" s="277"/>
      <c r="P79" s="277"/>
      <c r="Q79" s="277"/>
      <c r="R79" s="277"/>
      <c r="S79" s="277"/>
      <c r="T79" s="277"/>
      <c r="U79" s="278"/>
      <c r="V79" s="106"/>
    </row>
    <row r="80" spans="1:22" ht="15.5" x14ac:dyDescent="0.35">
      <c r="A80" s="106"/>
      <c r="B80" s="140"/>
      <c r="C80" s="65"/>
      <c r="D80" s="141"/>
      <c r="E80" s="141"/>
      <c r="F80" s="141"/>
      <c r="G80" s="141"/>
      <c r="H80" s="141"/>
      <c r="I80" s="141"/>
      <c r="J80" s="141"/>
      <c r="K80" s="141"/>
      <c r="L80" s="141"/>
      <c r="M80" s="141"/>
      <c r="N80" s="141"/>
      <c r="O80" s="141"/>
      <c r="P80" s="141"/>
      <c r="Q80" s="141"/>
      <c r="R80" s="141"/>
      <c r="S80" s="141"/>
      <c r="T80" s="141"/>
      <c r="U80" s="142"/>
      <c r="V80" s="106"/>
    </row>
    <row r="81" spans="1:22" ht="15.5" x14ac:dyDescent="0.35">
      <c r="A81" s="106"/>
      <c r="B81" s="140"/>
      <c r="C81" s="131" t="s">
        <v>84</v>
      </c>
      <c r="D81" s="277" t="s">
        <v>196</v>
      </c>
      <c r="E81" s="277"/>
      <c r="F81" s="277"/>
      <c r="G81" s="277"/>
      <c r="H81" s="277"/>
      <c r="I81" s="277"/>
      <c r="J81" s="277"/>
      <c r="K81" s="277"/>
      <c r="L81" s="277"/>
      <c r="M81" s="277"/>
      <c r="N81" s="277"/>
      <c r="O81" s="277"/>
      <c r="P81" s="277"/>
      <c r="Q81" s="277"/>
      <c r="R81" s="277"/>
      <c r="S81" s="277"/>
      <c r="T81" s="277"/>
      <c r="U81" s="278"/>
      <c r="V81" s="106"/>
    </row>
    <row r="82" spans="1:22" ht="15.5" x14ac:dyDescent="0.35">
      <c r="A82" s="106"/>
      <c r="B82" s="140"/>
      <c r="C82" s="65"/>
      <c r="D82" s="277"/>
      <c r="E82" s="277"/>
      <c r="F82" s="277"/>
      <c r="G82" s="277"/>
      <c r="H82" s="277"/>
      <c r="I82" s="277"/>
      <c r="J82" s="277"/>
      <c r="K82" s="277"/>
      <c r="L82" s="277"/>
      <c r="M82" s="277"/>
      <c r="N82" s="277"/>
      <c r="O82" s="277"/>
      <c r="P82" s="277"/>
      <c r="Q82" s="277"/>
      <c r="R82" s="277"/>
      <c r="S82" s="277"/>
      <c r="T82" s="277"/>
      <c r="U82" s="278"/>
      <c r="V82" s="106"/>
    </row>
    <row r="83" spans="1:22" ht="15.5" x14ac:dyDescent="0.35">
      <c r="A83" s="106"/>
      <c r="B83" s="140"/>
      <c r="C83" s="118"/>
      <c r="D83" s="118"/>
      <c r="E83" s="118"/>
      <c r="F83" s="118"/>
      <c r="G83" s="118"/>
      <c r="H83" s="118"/>
      <c r="I83" s="118"/>
      <c r="J83" s="118"/>
      <c r="K83" s="118"/>
      <c r="L83" s="118"/>
      <c r="M83" s="118"/>
      <c r="N83" s="118"/>
      <c r="O83" s="118"/>
      <c r="P83" s="118"/>
      <c r="Q83" s="118"/>
      <c r="R83" s="118"/>
      <c r="S83" s="118"/>
      <c r="T83" s="118"/>
      <c r="U83" s="132"/>
      <c r="V83" s="106"/>
    </row>
    <row r="84" spans="1:22" ht="15.5" x14ac:dyDescent="0.35">
      <c r="A84" s="106"/>
      <c r="B84" s="139"/>
      <c r="C84" s="131" t="s">
        <v>84</v>
      </c>
      <c r="D84" s="277" t="s">
        <v>162</v>
      </c>
      <c r="E84" s="277"/>
      <c r="F84" s="277"/>
      <c r="G84" s="277"/>
      <c r="H84" s="277"/>
      <c r="I84" s="277"/>
      <c r="J84" s="277"/>
      <c r="K84" s="277"/>
      <c r="L84" s="277"/>
      <c r="M84" s="277"/>
      <c r="N84" s="277"/>
      <c r="O84" s="277"/>
      <c r="P84" s="277"/>
      <c r="Q84" s="277"/>
      <c r="R84" s="277"/>
      <c r="S84" s="277"/>
      <c r="T84" s="277"/>
      <c r="U84" s="278"/>
      <c r="V84" s="106"/>
    </row>
    <row r="85" spans="1:22" ht="15.5" x14ac:dyDescent="0.35">
      <c r="A85" s="106"/>
      <c r="B85" s="140"/>
      <c r="C85" s="118"/>
      <c r="D85" s="277"/>
      <c r="E85" s="277"/>
      <c r="F85" s="277"/>
      <c r="G85" s="277"/>
      <c r="H85" s="277"/>
      <c r="I85" s="277"/>
      <c r="J85" s="277"/>
      <c r="K85" s="277"/>
      <c r="L85" s="277"/>
      <c r="M85" s="277"/>
      <c r="N85" s="277"/>
      <c r="O85" s="277"/>
      <c r="P85" s="277"/>
      <c r="Q85" s="277"/>
      <c r="R85" s="277"/>
      <c r="S85" s="277"/>
      <c r="T85" s="277"/>
      <c r="U85" s="278"/>
      <c r="V85" s="106"/>
    </row>
    <row r="86" spans="1:22" ht="15.5" x14ac:dyDescent="0.35">
      <c r="A86" s="106"/>
      <c r="B86" s="140"/>
      <c r="C86" s="118"/>
      <c r="D86" s="118"/>
      <c r="E86" s="118"/>
      <c r="F86" s="118"/>
      <c r="G86" s="118"/>
      <c r="H86" s="118"/>
      <c r="I86" s="118"/>
      <c r="J86" s="118"/>
      <c r="K86" s="118"/>
      <c r="L86" s="118"/>
      <c r="M86" s="118"/>
      <c r="N86" s="118"/>
      <c r="O86" s="118"/>
      <c r="P86" s="118"/>
      <c r="Q86" s="118"/>
      <c r="R86" s="118"/>
      <c r="S86" s="118"/>
      <c r="T86" s="118"/>
      <c r="U86" s="132"/>
      <c r="V86" s="106"/>
    </row>
    <row r="87" spans="1:22" ht="15.5" x14ac:dyDescent="0.35">
      <c r="A87" s="106"/>
      <c r="B87" s="140"/>
      <c r="C87" s="131" t="s">
        <v>84</v>
      </c>
      <c r="D87" s="264" t="s">
        <v>163</v>
      </c>
      <c r="E87" s="264"/>
      <c r="F87" s="264"/>
      <c r="G87" s="264"/>
      <c r="H87" s="264"/>
      <c r="I87" s="264"/>
      <c r="J87" s="264"/>
      <c r="K87" s="264"/>
      <c r="L87" s="264"/>
      <c r="M87" s="264"/>
      <c r="N87" s="264"/>
      <c r="O87" s="264"/>
      <c r="P87" s="264"/>
      <c r="Q87" s="264"/>
      <c r="R87" s="264"/>
      <c r="S87" s="264"/>
      <c r="T87" s="264"/>
      <c r="U87" s="267"/>
      <c r="V87" s="106"/>
    </row>
    <row r="88" spans="1:22" ht="15.5" x14ac:dyDescent="0.35">
      <c r="A88" s="106"/>
      <c r="B88" s="140"/>
      <c r="C88" s="65"/>
      <c r="D88" s="251"/>
      <c r="E88" s="251"/>
      <c r="F88" s="251"/>
      <c r="G88" s="251"/>
      <c r="H88" s="251"/>
      <c r="I88" s="251"/>
      <c r="J88" s="251"/>
      <c r="K88" s="251"/>
      <c r="L88" s="251"/>
      <c r="M88" s="251"/>
      <c r="N88" s="251"/>
      <c r="O88" s="251"/>
      <c r="P88" s="251"/>
      <c r="Q88" s="251"/>
      <c r="R88" s="251"/>
      <c r="S88" s="251"/>
      <c r="T88" s="251"/>
      <c r="U88" s="252"/>
      <c r="V88" s="106"/>
    </row>
    <row r="89" spans="1:22" ht="15.5" x14ac:dyDescent="0.35">
      <c r="A89" s="106"/>
      <c r="B89" s="140"/>
      <c r="C89" s="253" t="s">
        <v>70</v>
      </c>
      <c r="D89" s="253"/>
      <c r="E89" s="253"/>
      <c r="F89" s="253"/>
      <c r="G89" s="253"/>
      <c r="H89" s="118"/>
      <c r="I89" s="118"/>
      <c r="J89" s="118"/>
      <c r="K89" s="118"/>
      <c r="L89" s="118"/>
      <c r="M89" s="118"/>
      <c r="N89" s="118"/>
      <c r="O89" s="118"/>
      <c r="P89" s="118"/>
      <c r="Q89" s="118"/>
      <c r="R89" s="118"/>
      <c r="S89" s="118"/>
      <c r="T89" s="257" t="s">
        <v>143</v>
      </c>
      <c r="U89" s="258"/>
      <c r="V89" s="106"/>
    </row>
    <row r="90" spans="1:22" ht="15.5" x14ac:dyDescent="0.35">
      <c r="A90" s="106"/>
      <c r="B90" s="140"/>
      <c r="C90" s="118"/>
      <c r="D90" s="118"/>
      <c r="E90" s="118"/>
      <c r="F90" s="118"/>
      <c r="G90" s="118"/>
      <c r="H90" s="118"/>
      <c r="I90" s="118"/>
      <c r="J90" s="118"/>
      <c r="K90" s="118"/>
      <c r="L90" s="118"/>
      <c r="M90" s="118"/>
      <c r="N90" s="118"/>
      <c r="O90" s="118"/>
      <c r="P90" s="118"/>
      <c r="Q90" s="118"/>
      <c r="R90" s="118"/>
      <c r="S90" s="118"/>
      <c r="T90" s="118"/>
      <c r="U90" s="132"/>
      <c r="V90" s="106"/>
    </row>
    <row r="91" spans="1:22" ht="15.5" x14ac:dyDescent="0.35">
      <c r="A91" s="106"/>
      <c r="B91" s="110">
        <v>6</v>
      </c>
      <c r="C91" s="265" t="s">
        <v>78</v>
      </c>
      <c r="D91" s="265"/>
      <c r="E91" s="265"/>
      <c r="F91" s="265"/>
      <c r="G91" s="265"/>
      <c r="H91" s="265"/>
      <c r="I91" s="265"/>
      <c r="J91" s="265"/>
      <c r="K91" s="265"/>
      <c r="L91" s="265"/>
      <c r="M91" s="265"/>
      <c r="N91" s="265"/>
      <c r="O91" s="265"/>
      <c r="P91" s="265"/>
      <c r="Q91" s="265"/>
      <c r="R91" s="265"/>
      <c r="S91" s="265"/>
      <c r="T91" s="265"/>
      <c r="U91" s="266"/>
      <c r="V91" s="106"/>
    </row>
    <row r="92" spans="1:22" ht="15.5" x14ac:dyDescent="0.35">
      <c r="A92" s="106"/>
      <c r="B92" s="138"/>
      <c r="C92" s="121"/>
      <c r="D92" s="121"/>
      <c r="E92" s="121"/>
      <c r="F92" s="121"/>
      <c r="G92" s="121"/>
      <c r="H92" s="121"/>
      <c r="I92" s="121"/>
      <c r="J92" s="121"/>
      <c r="K92" s="121"/>
      <c r="L92" s="121"/>
      <c r="M92" s="121"/>
      <c r="N92" s="121"/>
      <c r="O92" s="121"/>
      <c r="P92" s="121"/>
      <c r="Q92" s="121"/>
      <c r="R92" s="121"/>
      <c r="S92" s="121"/>
      <c r="T92" s="121"/>
      <c r="U92" s="122"/>
      <c r="V92" s="106"/>
    </row>
    <row r="93" spans="1:22" ht="15.5" x14ac:dyDescent="0.35">
      <c r="A93" s="106"/>
      <c r="B93" s="140"/>
      <c r="C93" s="131" t="s">
        <v>84</v>
      </c>
      <c r="D93" s="264" t="s">
        <v>164</v>
      </c>
      <c r="E93" s="264"/>
      <c r="F93" s="264"/>
      <c r="G93" s="264"/>
      <c r="H93" s="264"/>
      <c r="I93" s="264"/>
      <c r="J93" s="264"/>
      <c r="K93" s="264"/>
      <c r="L93" s="264"/>
      <c r="M93" s="264"/>
      <c r="N93" s="264"/>
      <c r="O93" s="264"/>
      <c r="P93" s="264"/>
      <c r="Q93" s="264"/>
      <c r="R93" s="264"/>
      <c r="S93" s="264"/>
      <c r="T93" s="264"/>
      <c r="U93" s="267"/>
      <c r="V93" s="106"/>
    </row>
    <row r="94" spans="1:22" ht="15.5" x14ac:dyDescent="0.35">
      <c r="A94" s="106"/>
      <c r="B94" s="140"/>
      <c r="C94" s="118"/>
      <c r="D94" s="118"/>
      <c r="E94" s="118"/>
      <c r="F94" s="118"/>
      <c r="G94" s="118"/>
      <c r="H94" s="118"/>
      <c r="I94" s="118"/>
      <c r="J94" s="118"/>
      <c r="K94" s="118"/>
      <c r="L94" s="118"/>
      <c r="M94" s="118"/>
      <c r="N94" s="118"/>
      <c r="O94" s="118"/>
      <c r="P94" s="118"/>
      <c r="Q94" s="118"/>
      <c r="R94" s="118"/>
      <c r="S94" s="118"/>
      <c r="T94" s="118"/>
      <c r="U94" s="132"/>
      <c r="V94" s="106"/>
    </row>
    <row r="95" spans="1:22" ht="15.5" x14ac:dyDescent="0.35">
      <c r="A95" s="106"/>
      <c r="B95" s="140"/>
      <c r="C95" s="143"/>
      <c r="D95" s="133" t="s">
        <v>88</v>
      </c>
      <c r="E95" s="264" t="s">
        <v>95</v>
      </c>
      <c r="F95" s="264"/>
      <c r="G95" s="264"/>
      <c r="H95" s="264"/>
      <c r="I95" s="264"/>
      <c r="J95" s="264"/>
      <c r="K95" s="264"/>
      <c r="L95" s="264"/>
      <c r="M95" s="264"/>
      <c r="N95" s="264"/>
      <c r="O95" s="264"/>
      <c r="P95" s="264"/>
      <c r="Q95" s="264"/>
      <c r="R95" s="264"/>
      <c r="S95" s="264"/>
      <c r="T95" s="264"/>
      <c r="U95" s="267"/>
      <c r="V95" s="106"/>
    </row>
    <row r="96" spans="1:22" ht="15.5" x14ac:dyDescent="0.35">
      <c r="A96" s="106"/>
      <c r="B96" s="140"/>
      <c r="C96" s="143"/>
      <c r="D96" s="133" t="s">
        <v>90</v>
      </c>
      <c r="E96" s="251" t="s">
        <v>242</v>
      </c>
      <c r="F96" s="251"/>
      <c r="G96" s="251"/>
      <c r="H96" s="251"/>
      <c r="I96" s="251"/>
      <c r="J96" s="251"/>
      <c r="K96" s="251"/>
      <c r="L96" s="251"/>
      <c r="M96" s="251"/>
      <c r="N96" s="251"/>
      <c r="O96" s="251"/>
      <c r="P96" s="251"/>
      <c r="Q96" s="251"/>
      <c r="R96" s="251"/>
      <c r="S96" s="251"/>
      <c r="T96" s="251"/>
      <c r="U96" s="252"/>
      <c r="V96" s="106"/>
    </row>
    <row r="97" spans="1:22" ht="15.5" x14ac:dyDescent="0.35">
      <c r="A97" s="106"/>
      <c r="B97" s="140"/>
      <c r="C97" s="118"/>
      <c r="D97" s="118"/>
      <c r="E97" s="251"/>
      <c r="F97" s="251"/>
      <c r="G97" s="251"/>
      <c r="H97" s="251"/>
      <c r="I97" s="251"/>
      <c r="J97" s="251"/>
      <c r="K97" s="251"/>
      <c r="L97" s="251"/>
      <c r="M97" s="251"/>
      <c r="N97" s="251"/>
      <c r="O97" s="251"/>
      <c r="P97" s="251"/>
      <c r="Q97" s="251"/>
      <c r="R97" s="251"/>
      <c r="S97" s="251"/>
      <c r="T97" s="251"/>
      <c r="U97" s="252"/>
      <c r="V97" s="106"/>
    </row>
    <row r="98" spans="1:22" ht="15.5" x14ac:dyDescent="0.35">
      <c r="A98" s="106"/>
      <c r="B98" s="140"/>
      <c r="C98" s="118"/>
      <c r="D98" s="118"/>
      <c r="E98" s="135"/>
      <c r="F98" s="135"/>
      <c r="G98" s="135"/>
      <c r="H98" s="135"/>
      <c r="I98" s="135"/>
      <c r="J98" s="135"/>
      <c r="K98" s="135"/>
      <c r="L98" s="135"/>
      <c r="M98" s="135"/>
      <c r="N98" s="135"/>
      <c r="O98" s="135"/>
      <c r="P98" s="135"/>
      <c r="Q98" s="135"/>
      <c r="R98" s="135"/>
      <c r="S98" s="135"/>
      <c r="T98" s="135"/>
      <c r="U98" s="136"/>
      <c r="V98" s="106"/>
    </row>
    <row r="99" spans="1:22" ht="15.5" x14ac:dyDescent="0.35">
      <c r="A99" s="106"/>
      <c r="B99" s="140"/>
      <c r="C99" s="240" t="s">
        <v>72</v>
      </c>
      <c r="D99" s="240"/>
      <c r="E99" s="240"/>
      <c r="F99" s="240"/>
      <c r="G99" s="240"/>
      <c r="H99" s="240"/>
      <c r="I99" s="240"/>
      <c r="J99" s="240"/>
      <c r="K99" s="135"/>
      <c r="L99" s="135"/>
      <c r="M99" s="135"/>
      <c r="N99" s="135"/>
      <c r="O99" s="135"/>
      <c r="P99" s="135"/>
      <c r="Q99" s="135"/>
      <c r="R99" s="135"/>
      <c r="S99" s="135"/>
      <c r="T99" s="135"/>
      <c r="U99" s="136"/>
      <c r="V99" s="106"/>
    </row>
    <row r="100" spans="1:22" ht="15.5" x14ac:dyDescent="0.35">
      <c r="A100" s="106"/>
      <c r="B100" s="140"/>
      <c r="C100" s="118"/>
      <c r="D100" s="118"/>
      <c r="E100" s="135"/>
      <c r="F100" s="135"/>
      <c r="G100" s="135"/>
      <c r="H100" s="135"/>
      <c r="I100" s="135"/>
      <c r="J100" s="135"/>
      <c r="K100" s="135"/>
      <c r="L100" s="135"/>
      <c r="M100" s="135"/>
      <c r="N100" s="135"/>
      <c r="O100" s="135"/>
      <c r="P100" s="135"/>
      <c r="Q100" s="135"/>
      <c r="R100" s="135"/>
      <c r="S100" s="135"/>
      <c r="T100" s="135"/>
      <c r="U100" s="136"/>
      <c r="V100" s="106"/>
    </row>
    <row r="101" spans="1:22" ht="15.5" x14ac:dyDescent="0.35">
      <c r="A101" s="106"/>
      <c r="B101" s="140"/>
      <c r="C101" s="131" t="s">
        <v>84</v>
      </c>
      <c r="D101" s="264" t="s">
        <v>96</v>
      </c>
      <c r="E101" s="264"/>
      <c r="F101" s="264"/>
      <c r="G101" s="264"/>
      <c r="H101" s="264"/>
      <c r="I101" s="264"/>
      <c r="J101" s="264"/>
      <c r="K101" s="264"/>
      <c r="L101" s="264"/>
      <c r="M101" s="264"/>
      <c r="N101" s="264"/>
      <c r="O101" s="264"/>
      <c r="P101" s="264"/>
      <c r="Q101" s="264"/>
      <c r="R101" s="264"/>
      <c r="S101" s="264"/>
      <c r="T101" s="264"/>
      <c r="U101" s="267"/>
      <c r="V101" s="106"/>
    </row>
    <row r="102" spans="1:22" ht="15.5" x14ac:dyDescent="0.35">
      <c r="A102" s="106"/>
      <c r="B102" s="140"/>
      <c r="C102" s="118"/>
      <c r="D102" s="118"/>
      <c r="E102" s="118"/>
      <c r="F102" s="118"/>
      <c r="G102" s="118"/>
      <c r="H102" s="118"/>
      <c r="I102" s="118"/>
      <c r="J102" s="118"/>
      <c r="K102" s="118"/>
      <c r="L102" s="118"/>
      <c r="M102" s="118"/>
      <c r="N102" s="118"/>
      <c r="O102" s="118"/>
      <c r="P102" s="118"/>
      <c r="Q102" s="118"/>
      <c r="R102" s="118"/>
      <c r="S102" s="118"/>
      <c r="T102" s="118"/>
      <c r="U102" s="132"/>
      <c r="V102" s="106"/>
    </row>
    <row r="103" spans="1:22" ht="15.5" x14ac:dyDescent="0.35">
      <c r="A103" s="106"/>
      <c r="B103" s="140"/>
      <c r="C103" s="143"/>
      <c r="D103" s="133" t="s">
        <v>88</v>
      </c>
      <c r="E103" s="251" t="s">
        <v>238</v>
      </c>
      <c r="F103" s="251"/>
      <c r="G103" s="251"/>
      <c r="H103" s="251"/>
      <c r="I103" s="251"/>
      <c r="J103" s="251"/>
      <c r="K103" s="251"/>
      <c r="L103" s="251"/>
      <c r="M103" s="251"/>
      <c r="N103" s="251"/>
      <c r="O103" s="251"/>
      <c r="P103" s="251"/>
      <c r="Q103" s="251"/>
      <c r="R103" s="251"/>
      <c r="S103" s="251"/>
      <c r="T103" s="251"/>
      <c r="U103" s="252"/>
      <c r="V103" s="106"/>
    </row>
    <row r="104" spans="1:22" ht="15.5" x14ac:dyDescent="0.35">
      <c r="A104" s="106"/>
      <c r="B104" s="140"/>
      <c r="C104" s="143"/>
      <c r="D104" s="133"/>
      <c r="E104" s="251"/>
      <c r="F104" s="251"/>
      <c r="G104" s="251"/>
      <c r="H104" s="251"/>
      <c r="I104" s="251"/>
      <c r="J104" s="251"/>
      <c r="K104" s="251"/>
      <c r="L104" s="251"/>
      <c r="M104" s="251"/>
      <c r="N104" s="251"/>
      <c r="O104" s="251"/>
      <c r="P104" s="251"/>
      <c r="Q104" s="251"/>
      <c r="R104" s="251"/>
      <c r="S104" s="251"/>
      <c r="T104" s="251"/>
      <c r="U104" s="252"/>
      <c r="V104" s="106"/>
    </row>
    <row r="105" spans="1:22" ht="15.5" x14ac:dyDescent="0.35">
      <c r="A105" s="106"/>
      <c r="B105" s="140"/>
      <c r="C105" s="143"/>
      <c r="D105" s="133" t="s">
        <v>90</v>
      </c>
      <c r="E105" s="264" t="s">
        <v>94</v>
      </c>
      <c r="F105" s="264"/>
      <c r="G105" s="264"/>
      <c r="H105" s="264"/>
      <c r="I105" s="264"/>
      <c r="J105" s="264"/>
      <c r="K105" s="264"/>
      <c r="L105" s="264"/>
      <c r="M105" s="264"/>
      <c r="N105" s="264"/>
      <c r="O105" s="264"/>
      <c r="P105" s="264"/>
      <c r="Q105" s="264"/>
      <c r="R105" s="264"/>
      <c r="S105" s="264"/>
      <c r="T105" s="264"/>
      <c r="U105" s="267"/>
      <c r="V105" s="106"/>
    </row>
    <row r="106" spans="1:22" ht="15.5" x14ac:dyDescent="0.35">
      <c r="A106" s="106"/>
      <c r="B106" s="140"/>
      <c r="C106" s="144"/>
      <c r="D106" s="118"/>
      <c r="E106" s="118"/>
      <c r="F106" s="118"/>
      <c r="G106" s="118"/>
      <c r="H106" s="118"/>
      <c r="I106" s="118"/>
      <c r="J106" s="118"/>
      <c r="K106" s="118"/>
      <c r="L106" s="118"/>
      <c r="M106" s="118"/>
      <c r="N106" s="118"/>
      <c r="O106" s="118"/>
      <c r="P106" s="118"/>
      <c r="Q106" s="118"/>
      <c r="R106" s="118"/>
      <c r="S106" s="118"/>
      <c r="T106" s="118"/>
      <c r="U106" s="132"/>
      <c r="V106" s="106"/>
    </row>
    <row r="107" spans="1:22" ht="15.5" x14ac:dyDescent="0.35">
      <c r="A107" s="106"/>
      <c r="B107" s="140"/>
      <c r="C107" s="131" t="s">
        <v>84</v>
      </c>
      <c r="D107" s="264" t="s">
        <v>79</v>
      </c>
      <c r="E107" s="264"/>
      <c r="F107" s="264"/>
      <c r="G107" s="264"/>
      <c r="H107" s="264"/>
      <c r="I107" s="264"/>
      <c r="J107" s="264"/>
      <c r="K107" s="264"/>
      <c r="L107" s="264"/>
      <c r="M107" s="264"/>
      <c r="N107" s="264"/>
      <c r="O107" s="264"/>
      <c r="P107" s="264"/>
      <c r="Q107" s="264"/>
      <c r="R107" s="264"/>
      <c r="S107" s="264"/>
      <c r="T107" s="264"/>
      <c r="U107" s="267"/>
      <c r="V107" s="106"/>
    </row>
    <row r="108" spans="1:22" ht="15.5" x14ac:dyDescent="0.35">
      <c r="A108" s="106"/>
      <c r="B108" s="140"/>
      <c r="C108" s="131"/>
      <c r="D108" s="145"/>
      <c r="E108" s="145"/>
      <c r="F108" s="145"/>
      <c r="G108" s="145"/>
      <c r="H108" s="145"/>
      <c r="I108" s="145"/>
      <c r="J108" s="145"/>
      <c r="K108" s="145"/>
      <c r="L108" s="145"/>
      <c r="M108" s="145"/>
      <c r="N108" s="145"/>
      <c r="O108" s="145"/>
      <c r="P108" s="145"/>
      <c r="Q108" s="145"/>
      <c r="R108" s="145"/>
      <c r="S108" s="145"/>
      <c r="T108" s="257" t="s">
        <v>143</v>
      </c>
      <c r="U108" s="258"/>
      <c r="V108" s="106"/>
    </row>
    <row r="109" spans="1:22" ht="15.5" x14ac:dyDescent="0.35">
      <c r="A109" s="106"/>
      <c r="B109" s="146"/>
      <c r="C109" s="143"/>
      <c r="D109" s="143"/>
      <c r="E109" s="143"/>
      <c r="F109" s="143"/>
      <c r="G109" s="143"/>
      <c r="H109" s="143"/>
      <c r="I109" s="143"/>
      <c r="J109" s="143"/>
      <c r="K109" s="143"/>
      <c r="L109" s="143"/>
      <c r="M109" s="143"/>
      <c r="N109" s="143"/>
      <c r="O109" s="143"/>
      <c r="P109" s="143"/>
      <c r="Q109" s="143"/>
      <c r="R109" s="143"/>
      <c r="S109" s="143"/>
      <c r="T109" s="143"/>
      <c r="U109" s="147"/>
      <c r="V109" s="106"/>
    </row>
    <row r="110" spans="1:22" ht="15.5" x14ac:dyDescent="0.35">
      <c r="A110" s="106"/>
      <c r="B110" s="110">
        <v>7</v>
      </c>
      <c r="C110" s="265" t="s">
        <v>144</v>
      </c>
      <c r="D110" s="265"/>
      <c r="E110" s="265"/>
      <c r="F110" s="265"/>
      <c r="G110" s="265"/>
      <c r="H110" s="265"/>
      <c r="I110" s="265"/>
      <c r="J110" s="265"/>
      <c r="K110" s="265"/>
      <c r="L110" s="265"/>
      <c r="M110" s="265"/>
      <c r="N110" s="265"/>
      <c r="O110" s="265"/>
      <c r="P110" s="265"/>
      <c r="Q110" s="265"/>
      <c r="R110" s="265"/>
      <c r="S110" s="265"/>
      <c r="T110" s="265"/>
      <c r="U110" s="266"/>
      <c r="V110" s="106"/>
    </row>
    <row r="111" spans="1:22" ht="15.5" x14ac:dyDescent="0.35">
      <c r="A111" s="106"/>
      <c r="B111" s="139"/>
      <c r="C111" s="65"/>
      <c r="D111" s="65"/>
      <c r="E111" s="65"/>
      <c r="F111" s="65"/>
      <c r="G111" s="65"/>
      <c r="H111" s="65"/>
      <c r="I111" s="65"/>
      <c r="J111" s="65"/>
      <c r="K111" s="65"/>
      <c r="L111" s="65"/>
      <c r="M111" s="65"/>
      <c r="N111" s="65"/>
      <c r="O111" s="65"/>
      <c r="P111" s="65"/>
      <c r="Q111" s="65"/>
      <c r="R111" s="65"/>
      <c r="S111" s="65"/>
      <c r="T111" s="65"/>
      <c r="U111" s="148"/>
      <c r="V111" s="106"/>
    </row>
    <row r="112" spans="1:22" ht="15.5" x14ac:dyDescent="0.35">
      <c r="A112" s="106"/>
      <c r="B112" s="139"/>
      <c r="C112" s="131" t="s">
        <v>84</v>
      </c>
      <c r="D112" s="282" t="s">
        <v>145</v>
      </c>
      <c r="E112" s="282"/>
      <c r="F112" s="282"/>
      <c r="G112" s="282"/>
      <c r="H112" s="282"/>
      <c r="I112" s="282"/>
      <c r="J112" s="282"/>
      <c r="K112" s="282"/>
      <c r="L112" s="282"/>
      <c r="M112" s="282"/>
      <c r="N112" s="282"/>
      <c r="O112" s="282"/>
      <c r="P112" s="282"/>
      <c r="Q112" s="282"/>
      <c r="R112" s="282"/>
      <c r="S112" s="282"/>
      <c r="T112" s="282"/>
      <c r="U112" s="283"/>
      <c r="V112" s="106"/>
    </row>
    <row r="113" spans="1:22" ht="15.5" x14ac:dyDescent="0.35">
      <c r="A113" s="106"/>
      <c r="B113" s="139"/>
      <c r="C113" s="131"/>
      <c r="D113" s="149"/>
      <c r="E113" s="149"/>
      <c r="F113" s="149"/>
      <c r="G113" s="149"/>
      <c r="H113" s="149"/>
      <c r="I113" s="149"/>
      <c r="J113" s="149"/>
      <c r="K113" s="149"/>
      <c r="L113" s="149"/>
      <c r="M113" s="149"/>
      <c r="N113" s="149"/>
      <c r="O113" s="149"/>
      <c r="P113" s="149"/>
      <c r="Q113" s="149"/>
      <c r="R113" s="149"/>
      <c r="S113" s="149"/>
      <c r="T113" s="149"/>
      <c r="U113" s="150"/>
      <c r="V113" s="106"/>
    </row>
    <row r="114" spans="1:22" ht="15.5" x14ac:dyDescent="0.35">
      <c r="A114" s="106"/>
      <c r="B114" s="139"/>
      <c r="C114" s="131" t="s">
        <v>84</v>
      </c>
      <c r="D114" s="264" t="s">
        <v>168</v>
      </c>
      <c r="E114" s="264"/>
      <c r="F114" s="264"/>
      <c r="G114" s="264"/>
      <c r="H114" s="264"/>
      <c r="I114" s="264"/>
      <c r="J114" s="264"/>
      <c r="K114" s="264"/>
      <c r="L114" s="264"/>
      <c r="M114" s="264"/>
      <c r="N114" s="264"/>
      <c r="O114" s="264"/>
      <c r="P114" s="264"/>
      <c r="Q114" s="264"/>
      <c r="R114" s="264"/>
      <c r="S114" s="264"/>
      <c r="T114" s="264"/>
      <c r="U114" s="267"/>
      <c r="V114" s="106"/>
    </row>
    <row r="115" spans="1:22" ht="15.5" x14ac:dyDescent="0.35">
      <c r="A115" s="106"/>
      <c r="B115" s="139"/>
      <c r="C115" s="131"/>
      <c r="D115" s="264"/>
      <c r="E115" s="264"/>
      <c r="F115" s="264"/>
      <c r="G115" s="264"/>
      <c r="H115" s="264"/>
      <c r="I115" s="264"/>
      <c r="J115" s="264"/>
      <c r="K115" s="264"/>
      <c r="L115" s="264"/>
      <c r="M115" s="264"/>
      <c r="N115" s="264"/>
      <c r="O115" s="264"/>
      <c r="P115" s="264"/>
      <c r="Q115" s="264"/>
      <c r="R115" s="264"/>
      <c r="S115" s="264"/>
      <c r="T115" s="264"/>
      <c r="U115" s="267"/>
      <c r="V115" s="106"/>
    </row>
    <row r="116" spans="1:22" ht="15.5" x14ac:dyDescent="0.35">
      <c r="A116" s="106"/>
      <c r="B116" s="139"/>
      <c r="C116" s="131"/>
      <c r="D116" s="145"/>
      <c r="E116" s="145"/>
      <c r="F116" s="145"/>
      <c r="G116" s="145"/>
      <c r="H116" s="145"/>
      <c r="I116" s="145"/>
      <c r="J116" s="145"/>
      <c r="K116" s="145"/>
      <c r="L116" s="145"/>
      <c r="M116" s="145"/>
      <c r="N116" s="145"/>
      <c r="O116" s="145"/>
      <c r="P116" s="145"/>
      <c r="Q116" s="145"/>
      <c r="R116" s="145"/>
      <c r="S116" s="145"/>
      <c r="T116" s="257" t="s">
        <v>143</v>
      </c>
      <c r="U116" s="258"/>
      <c r="V116" s="106"/>
    </row>
    <row r="117" spans="1:22" ht="15.5" x14ac:dyDescent="0.35">
      <c r="A117" s="106"/>
      <c r="B117" s="139"/>
      <c r="C117" s="65"/>
      <c r="D117" s="65"/>
      <c r="E117" s="65"/>
      <c r="F117" s="65"/>
      <c r="G117" s="65"/>
      <c r="H117" s="65"/>
      <c r="I117" s="65"/>
      <c r="J117" s="65"/>
      <c r="K117" s="65"/>
      <c r="L117" s="65"/>
      <c r="M117" s="65"/>
      <c r="N117" s="65"/>
      <c r="O117" s="65"/>
      <c r="P117" s="65"/>
      <c r="Q117" s="65"/>
      <c r="R117" s="65"/>
      <c r="S117" s="65"/>
      <c r="T117" s="65"/>
      <c r="U117" s="148"/>
      <c r="V117" s="106"/>
    </row>
    <row r="118" spans="1:22" ht="15.5" x14ac:dyDescent="0.35">
      <c r="A118" s="106"/>
      <c r="B118" s="110">
        <v>8</v>
      </c>
      <c r="C118" s="286" t="s">
        <v>165</v>
      </c>
      <c r="D118" s="287"/>
      <c r="E118" s="287"/>
      <c r="F118" s="287"/>
      <c r="G118" s="287"/>
      <c r="H118" s="287"/>
      <c r="I118" s="287"/>
      <c r="J118" s="287"/>
      <c r="K118" s="287"/>
      <c r="L118" s="287"/>
      <c r="M118" s="287"/>
      <c r="N118" s="287"/>
      <c r="O118" s="287"/>
      <c r="P118" s="287"/>
      <c r="Q118" s="287"/>
      <c r="R118" s="287"/>
      <c r="S118" s="287"/>
      <c r="T118" s="287"/>
      <c r="U118" s="288"/>
      <c r="V118" s="106"/>
    </row>
    <row r="119" spans="1:22" ht="15.5" x14ac:dyDescent="0.35">
      <c r="A119" s="106"/>
      <c r="B119" s="110"/>
      <c r="C119" s="287"/>
      <c r="D119" s="287"/>
      <c r="E119" s="287"/>
      <c r="F119" s="287"/>
      <c r="G119" s="287"/>
      <c r="H119" s="287"/>
      <c r="I119" s="287"/>
      <c r="J119" s="287"/>
      <c r="K119" s="287"/>
      <c r="L119" s="287"/>
      <c r="M119" s="287"/>
      <c r="N119" s="287"/>
      <c r="O119" s="287"/>
      <c r="P119" s="287"/>
      <c r="Q119" s="287"/>
      <c r="R119" s="287"/>
      <c r="S119" s="287"/>
      <c r="T119" s="287"/>
      <c r="U119" s="288"/>
      <c r="V119" s="106"/>
    </row>
    <row r="120" spans="1:22" ht="15.5" x14ac:dyDescent="0.35">
      <c r="A120" s="106"/>
      <c r="B120" s="139"/>
      <c r="C120" s="65"/>
      <c r="D120" s="65"/>
      <c r="E120" s="65"/>
      <c r="F120" s="65"/>
      <c r="G120" s="65"/>
      <c r="H120" s="65"/>
      <c r="I120" s="65"/>
      <c r="J120" s="65"/>
      <c r="K120" s="65"/>
      <c r="L120" s="65"/>
      <c r="M120" s="65"/>
      <c r="N120" s="65"/>
      <c r="O120" s="65"/>
      <c r="P120" s="65"/>
      <c r="Q120" s="65"/>
      <c r="R120" s="65"/>
      <c r="S120" s="65"/>
      <c r="T120" s="65"/>
      <c r="U120" s="148"/>
      <c r="V120" s="106"/>
    </row>
    <row r="121" spans="1:22" ht="15.5" x14ac:dyDescent="0.35">
      <c r="A121" s="106"/>
      <c r="B121" s="139"/>
      <c r="C121" s="131" t="s">
        <v>84</v>
      </c>
      <c r="D121" s="282" t="s">
        <v>151</v>
      </c>
      <c r="E121" s="282"/>
      <c r="F121" s="282"/>
      <c r="G121" s="282"/>
      <c r="H121" s="282"/>
      <c r="I121" s="282"/>
      <c r="J121" s="282"/>
      <c r="K121" s="282"/>
      <c r="L121" s="282"/>
      <c r="M121" s="282"/>
      <c r="N121" s="282"/>
      <c r="O121" s="282"/>
      <c r="P121" s="282"/>
      <c r="Q121" s="282"/>
      <c r="R121" s="282"/>
      <c r="S121" s="282"/>
      <c r="T121" s="282"/>
      <c r="U121" s="283"/>
      <c r="V121" s="106"/>
    </row>
    <row r="122" spans="1:22" ht="15.5" x14ac:dyDescent="0.35">
      <c r="A122" s="106"/>
      <c r="B122" s="139"/>
      <c r="C122" s="131"/>
      <c r="D122" s="282" t="s">
        <v>152</v>
      </c>
      <c r="E122" s="282"/>
      <c r="F122" s="282"/>
      <c r="G122" s="282"/>
      <c r="H122" s="282"/>
      <c r="I122" s="282"/>
      <c r="J122" s="282"/>
      <c r="K122" s="282"/>
      <c r="L122" s="282"/>
      <c r="M122" s="282"/>
      <c r="N122" s="282"/>
      <c r="O122" s="282"/>
      <c r="P122" s="282"/>
      <c r="Q122" s="282"/>
      <c r="R122" s="282"/>
      <c r="S122" s="282"/>
      <c r="T122" s="282"/>
      <c r="U122" s="283"/>
      <c r="V122" s="106"/>
    </row>
    <row r="123" spans="1:22" ht="15.5" x14ac:dyDescent="0.35">
      <c r="A123" s="106"/>
      <c r="B123" s="139"/>
      <c r="C123" s="131"/>
      <c r="D123" s="282" t="s">
        <v>155</v>
      </c>
      <c r="E123" s="282"/>
      <c r="F123" s="282"/>
      <c r="G123" s="282"/>
      <c r="H123" s="282"/>
      <c r="I123" s="282"/>
      <c r="J123" s="282"/>
      <c r="K123" s="282"/>
      <c r="L123" s="282"/>
      <c r="M123" s="282"/>
      <c r="N123" s="282"/>
      <c r="O123" s="282"/>
      <c r="P123" s="282"/>
      <c r="Q123" s="282"/>
      <c r="R123" s="282"/>
      <c r="S123" s="282"/>
      <c r="T123" s="282"/>
      <c r="U123" s="283"/>
      <c r="V123" s="106"/>
    </row>
    <row r="124" spans="1:22" ht="15.5" x14ac:dyDescent="0.35">
      <c r="A124" s="106"/>
      <c r="B124" s="139"/>
      <c r="C124" s="131"/>
      <c r="D124" s="282" t="s">
        <v>158</v>
      </c>
      <c r="E124" s="282"/>
      <c r="F124" s="282"/>
      <c r="G124" s="282"/>
      <c r="H124" s="282"/>
      <c r="I124" s="282"/>
      <c r="J124" s="282"/>
      <c r="K124" s="282"/>
      <c r="L124" s="282"/>
      <c r="M124" s="282"/>
      <c r="N124" s="282"/>
      <c r="O124" s="282"/>
      <c r="P124" s="282"/>
      <c r="Q124" s="282"/>
      <c r="R124" s="282"/>
      <c r="S124" s="282"/>
      <c r="T124" s="282"/>
      <c r="U124" s="283"/>
      <c r="V124" s="106"/>
    </row>
    <row r="125" spans="1:22" ht="15.5" x14ac:dyDescent="0.35">
      <c r="A125" s="106"/>
      <c r="B125" s="139"/>
      <c r="C125" s="131"/>
      <c r="D125" s="149"/>
      <c r="E125" s="149"/>
      <c r="F125" s="149"/>
      <c r="G125" s="149"/>
      <c r="H125" s="149"/>
      <c r="I125" s="149"/>
      <c r="J125" s="149"/>
      <c r="K125" s="149"/>
      <c r="L125" s="149"/>
      <c r="M125" s="149"/>
      <c r="N125" s="149"/>
      <c r="O125" s="149"/>
      <c r="P125" s="149"/>
      <c r="Q125" s="149"/>
      <c r="R125" s="149"/>
      <c r="S125" s="149"/>
      <c r="T125" s="149"/>
      <c r="U125" s="150"/>
      <c r="V125" s="106"/>
    </row>
    <row r="126" spans="1:22" ht="15.5" x14ac:dyDescent="0.35">
      <c r="A126" s="106"/>
      <c r="B126" s="139"/>
      <c r="C126" s="131" t="s">
        <v>84</v>
      </c>
      <c r="D126" s="282" t="s">
        <v>153</v>
      </c>
      <c r="E126" s="282"/>
      <c r="F126" s="282"/>
      <c r="G126" s="282"/>
      <c r="H126" s="282"/>
      <c r="I126" s="282"/>
      <c r="J126" s="282"/>
      <c r="K126" s="282"/>
      <c r="L126" s="282"/>
      <c r="M126" s="282"/>
      <c r="N126" s="282"/>
      <c r="O126" s="282"/>
      <c r="P126" s="282"/>
      <c r="Q126" s="282"/>
      <c r="R126" s="282"/>
      <c r="S126" s="282"/>
      <c r="T126" s="282"/>
      <c r="U126" s="283"/>
      <c r="V126" s="106"/>
    </row>
    <row r="127" spans="1:22" ht="15.5" x14ac:dyDescent="0.35">
      <c r="A127" s="106"/>
      <c r="B127" s="139"/>
      <c r="C127" s="131"/>
      <c r="D127" s="149"/>
      <c r="E127" s="149"/>
      <c r="F127" s="149"/>
      <c r="G127" s="149"/>
      <c r="H127" s="149"/>
      <c r="I127" s="149"/>
      <c r="J127" s="149"/>
      <c r="K127" s="149"/>
      <c r="L127" s="149"/>
      <c r="M127" s="149"/>
      <c r="N127" s="149"/>
      <c r="O127" s="149"/>
      <c r="P127" s="149"/>
      <c r="Q127" s="149"/>
      <c r="R127" s="149"/>
      <c r="S127" s="149"/>
      <c r="T127" s="149"/>
      <c r="U127" s="150"/>
      <c r="V127" s="106"/>
    </row>
    <row r="128" spans="1:22" ht="15.5" x14ac:dyDescent="0.35">
      <c r="A128" s="106"/>
      <c r="B128" s="139"/>
      <c r="C128" s="131" t="s">
        <v>84</v>
      </c>
      <c r="D128" s="264" t="s">
        <v>154</v>
      </c>
      <c r="E128" s="264"/>
      <c r="F128" s="264"/>
      <c r="G128" s="264"/>
      <c r="H128" s="264"/>
      <c r="I128" s="264"/>
      <c r="J128" s="264"/>
      <c r="K128" s="264"/>
      <c r="L128" s="264"/>
      <c r="M128" s="264"/>
      <c r="N128" s="264"/>
      <c r="O128" s="264"/>
      <c r="P128" s="264"/>
      <c r="Q128" s="264"/>
      <c r="R128" s="264"/>
      <c r="S128" s="264"/>
      <c r="T128" s="264"/>
      <c r="U128" s="267"/>
      <c r="V128" s="106"/>
    </row>
    <row r="129" spans="1:22" ht="15.5" x14ac:dyDescent="0.35">
      <c r="A129" s="106"/>
      <c r="B129" s="139"/>
      <c r="C129" s="131"/>
      <c r="D129" s="282" t="s">
        <v>156</v>
      </c>
      <c r="E129" s="282"/>
      <c r="F129" s="282"/>
      <c r="G129" s="282"/>
      <c r="H129" s="282"/>
      <c r="I129" s="282"/>
      <c r="J129" s="282"/>
      <c r="K129" s="282"/>
      <c r="L129" s="282"/>
      <c r="M129" s="282"/>
      <c r="N129" s="282"/>
      <c r="O129" s="282"/>
      <c r="P129" s="282"/>
      <c r="Q129" s="282"/>
      <c r="R129" s="282"/>
      <c r="S129" s="282"/>
      <c r="T129" s="282"/>
      <c r="U129" s="283"/>
      <c r="V129" s="106"/>
    </row>
    <row r="130" spans="1:22" ht="15.5" x14ac:dyDescent="0.35">
      <c r="A130" s="106"/>
      <c r="B130" s="139"/>
      <c r="C130" s="131"/>
      <c r="D130" s="282" t="s">
        <v>157</v>
      </c>
      <c r="E130" s="282"/>
      <c r="F130" s="282"/>
      <c r="G130" s="282"/>
      <c r="H130" s="282"/>
      <c r="I130" s="282"/>
      <c r="J130" s="282"/>
      <c r="K130" s="282"/>
      <c r="L130" s="282"/>
      <c r="M130" s="282"/>
      <c r="N130" s="282"/>
      <c r="O130" s="282"/>
      <c r="P130" s="282"/>
      <c r="Q130" s="282"/>
      <c r="R130" s="282"/>
      <c r="S130" s="282"/>
      <c r="T130" s="282"/>
      <c r="U130" s="283"/>
      <c r="V130" s="106"/>
    </row>
    <row r="131" spans="1:22" ht="15.5" x14ac:dyDescent="0.35">
      <c r="A131" s="106"/>
      <c r="B131" s="139"/>
      <c r="C131" s="131"/>
      <c r="D131" s="282" t="s">
        <v>160</v>
      </c>
      <c r="E131" s="282"/>
      <c r="F131" s="282"/>
      <c r="G131" s="282"/>
      <c r="H131" s="282"/>
      <c r="I131" s="282"/>
      <c r="J131" s="282"/>
      <c r="K131" s="282"/>
      <c r="L131" s="282"/>
      <c r="M131" s="282"/>
      <c r="N131" s="282"/>
      <c r="O131" s="282"/>
      <c r="P131" s="282"/>
      <c r="Q131" s="282"/>
      <c r="R131" s="282"/>
      <c r="S131" s="282"/>
      <c r="T131" s="282"/>
      <c r="U131" s="283"/>
      <c r="V131" s="106"/>
    </row>
    <row r="132" spans="1:22" ht="15.5" x14ac:dyDescent="0.35">
      <c r="A132" s="106"/>
      <c r="B132" s="139"/>
      <c r="C132" s="131"/>
      <c r="D132" s="149"/>
      <c r="E132" s="149"/>
      <c r="F132" s="149"/>
      <c r="G132" s="149"/>
      <c r="H132" s="149"/>
      <c r="I132" s="149"/>
      <c r="J132" s="149"/>
      <c r="K132" s="149"/>
      <c r="L132" s="149"/>
      <c r="M132" s="149"/>
      <c r="N132" s="149"/>
      <c r="O132" s="149"/>
      <c r="P132" s="149"/>
      <c r="Q132" s="149"/>
      <c r="R132" s="149"/>
      <c r="S132" s="149"/>
      <c r="T132" s="149"/>
      <c r="U132" s="150"/>
      <c r="V132" s="106"/>
    </row>
    <row r="133" spans="1:22" ht="15.5" x14ac:dyDescent="0.35">
      <c r="A133" s="106"/>
      <c r="B133" s="139"/>
      <c r="C133" s="131" t="s">
        <v>84</v>
      </c>
      <c r="D133" s="282" t="s">
        <v>159</v>
      </c>
      <c r="E133" s="282"/>
      <c r="F133" s="282"/>
      <c r="G133" s="282"/>
      <c r="H133" s="282"/>
      <c r="I133" s="282"/>
      <c r="J133" s="282"/>
      <c r="K133" s="282"/>
      <c r="L133" s="282"/>
      <c r="M133" s="282"/>
      <c r="N133" s="282"/>
      <c r="O133" s="282"/>
      <c r="P133" s="282"/>
      <c r="Q133" s="282"/>
      <c r="R133" s="282"/>
      <c r="S133" s="282"/>
      <c r="T133" s="149"/>
      <c r="U133" s="150"/>
      <c r="V133" s="106"/>
    </row>
    <row r="134" spans="1:22" ht="15.5" x14ac:dyDescent="0.35">
      <c r="A134" s="106"/>
      <c r="B134" s="139"/>
      <c r="C134" s="131"/>
      <c r="D134" s="145"/>
      <c r="E134" s="145"/>
      <c r="F134" s="145"/>
      <c r="G134" s="145"/>
      <c r="H134" s="145"/>
      <c r="I134" s="145"/>
      <c r="J134" s="145"/>
      <c r="K134" s="145"/>
      <c r="L134" s="145"/>
      <c r="M134" s="145"/>
      <c r="N134" s="145"/>
      <c r="O134" s="145"/>
      <c r="P134" s="145"/>
      <c r="Q134" s="145"/>
      <c r="R134" s="145"/>
      <c r="S134" s="145"/>
      <c r="T134" s="145"/>
      <c r="U134" s="151"/>
      <c r="V134" s="106"/>
    </row>
    <row r="135" spans="1:22" ht="15.5" x14ac:dyDescent="0.35">
      <c r="A135" s="106"/>
      <c r="B135" s="139"/>
      <c r="C135" s="131" t="s">
        <v>84</v>
      </c>
      <c r="D135" s="251" t="s">
        <v>166</v>
      </c>
      <c r="E135" s="251"/>
      <c r="F135" s="251"/>
      <c r="G135" s="251"/>
      <c r="H135" s="251"/>
      <c r="I135" s="251"/>
      <c r="J135" s="251"/>
      <c r="K135" s="251"/>
      <c r="L135" s="251"/>
      <c r="M135" s="251"/>
      <c r="N135" s="251"/>
      <c r="O135" s="251"/>
      <c r="P135" s="251"/>
      <c r="Q135" s="251"/>
      <c r="R135" s="251"/>
      <c r="S135" s="251"/>
      <c r="T135" s="251"/>
      <c r="U135" s="252"/>
      <c r="V135" s="106"/>
    </row>
    <row r="136" spans="1:22" ht="15.5" x14ac:dyDescent="0.35">
      <c r="A136" s="106"/>
      <c r="B136" s="139"/>
      <c r="C136" s="131"/>
      <c r="D136" s="251"/>
      <c r="E136" s="251"/>
      <c r="F136" s="251"/>
      <c r="G136" s="251"/>
      <c r="H136" s="251"/>
      <c r="I136" s="251"/>
      <c r="J136" s="251"/>
      <c r="K136" s="251"/>
      <c r="L136" s="251"/>
      <c r="M136" s="251"/>
      <c r="N136" s="251"/>
      <c r="O136" s="251"/>
      <c r="P136" s="251"/>
      <c r="Q136" s="251"/>
      <c r="R136" s="251"/>
      <c r="S136" s="251"/>
      <c r="T136" s="251"/>
      <c r="U136" s="252"/>
      <c r="V136" s="106"/>
    </row>
    <row r="137" spans="1:22" ht="15.5" x14ac:dyDescent="0.35">
      <c r="A137" s="106"/>
      <c r="B137" s="139"/>
      <c r="C137" s="131"/>
      <c r="D137" s="145"/>
      <c r="E137" s="145"/>
      <c r="F137" s="145"/>
      <c r="G137" s="145"/>
      <c r="H137" s="145"/>
      <c r="I137" s="145"/>
      <c r="J137" s="145"/>
      <c r="K137" s="145"/>
      <c r="L137" s="145"/>
      <c r="M137" s="145"/>
      <c r="N137" s="145"/>
      <c r="O137" s="145"/>
      <c r="P137" s="145"/>
      <c r="Q137" s="145"/>
      <c r="R137" s="145"/>
      <c r="S137" s="145"/>
      <c r="T137" s="145"/>
      <c r="U137" s="151"/>
      <c r="V137" s="106"/>
    </row>
    <row r="138" spans="1:22" ht="15.5" x14ac:dyDescent="0.35">
      <c r="A138" s="106"/>
      <c r="B138" s="139"/>
      <c r="C138" s="131"/>
      <c r="D138" s="145"/>
      <c r="E138" s="145"/>
      <c r="F138" s="145"/>
      <c r="G138" s="145"/>
      <c r="H138" s="145"/>
      <c r="I138" s="145"/>
      <c r="J138" s="145"/>
      <c r="K138" s="145"/>
      <c r="L138" s="145"/>
      <c r="M138" s="145"/>
      <c r="N138" s="145"/>
      <c r="O138" s="145"/>
      <c r="P138" s="145"/>
      <c r="Q138" s="145"/>
      <c r="R138" s="145"/>
      <c r="S138" s="145"/>
      <c r="T138" s="257" t="s">
        <v>143</v>
      </c>
      <c r="U138" s="258"/>
      <c r="V138" s="106"/>
    </row>
    <row r="139" spans="1:22" ht="15.5" x14ac:dyDescent="0.35">
      <c r="A139" s="106"/>
      <c r="B139" s="139"/>
      <c r="C139" s="143"/>
      <c r="D139" s="143"/>
      <c r="E139" s="143"/>
      <c r="F139" s="143"/>
      <c r="G139" s="143"/>
      <c r="H139" s="143"/>
      <c r="I139" s="143"/>
      <c r="J139" s="143"/>
      <c r="K139" s="143"/>
      <c r="L139" s="143"/>
      <c r="M139" s="143"/>
      <c r="N139" s="143"/>
      <c r="O139" s="143"/>
      <c r="P139" s="143"/>
      <c r="Q139" s="143"/>
      <c r="R139" s="143"/>
      <c r="S139" s="143"/>
      <c r="T139" s="143"/>
      <c r="U139" s="147"/>
      <c r="V139" s="106"/>
    </row>
    <row r="140" spans="1:22" ht="15.5" x14ac:dyDescent="0.35">
      <c r="A140" s="106"/>
      <c r="B140" s="110">
        <v>9</v>
      </c>
      <c r="C140" s="271" t="s">
        <v>228</v>
      </c>
      <c r="D140" s="271"/>
      <c r="E140" s="271"/>
      <c r="F140" s="271"/>
      <c r="G140" s="271"/>
      <c r="H140" s="271"/>
      <c r="I140" s="271"/>
      <c r="J140" s="271"/>
      <c r="K140" s="271"/>
      <c r="L140" s="271"/>
      <c r="M140" s="271"/>
      <c r="N140" s="271"/>
      <c r="O140" s="271"/>
      <c r="P140" s="271"/>
      <c r="Q140" s="271"/>
      <c r="R140" s="271"/>
      <c r="S140" s="271"/>
      <c r="T140" s="271"/>
      <c r="U140" s="272"/>
      <c r="V140" s="106"/>
    </row>
    <row r="141" spans="1:22" ht="15.5" x14ac:dyDescent="0.35">
      <c r="A141" s="106"/>
      <c r="B141" s="110"/>
      <c r="C141" s="271"/>
      <c r="D141" s="271"/>
      <c r="E141" s="271"/>
      <c r="F141" s="271"/>
      <c r="G141" s="271"/>
      <c r="H141" s="271"/>
      <c r="I141" s="271"/>
      <c r="J141" s="271"/>
      <c r="K141" s="271"/>
      <c r="L141" s="271"/>
      <c r="M141" s="271"/>
      <c r="N141" s="271"/>
      <c r="O141" s="271"/>
      <c r="P141" s="271"/>
      <c r="Q141" s="271"/>
      <c r="R141" s="271"/>
      <c r="S141" s="271"/>
      <c r="T141" s="271"/>
      <c r="U141" s="272"/>
      <c r="V141" s="106"/>
    </row>
    <row r="142" spans="1:22" ht="15.5" x14ac:dyDescent="0.35">
      <c r="A142" s="106"/>
      <c r="B142" s="110"/>
      <c r="C142" s="271"/>
      <c r="D142" s="271"/>
      <c r="E142" s="271"/>
      <c r="F142" s="271"/>
      <c r="G142" s="271"/>
      <c r="H142" s="271"/>
      <c r="I142" s="271"/>
      <c r="J142" s="271"/>
      <c r="K142" s="271"/>
      <c r="L142" s="271"/>
      <c r="M142" s="271"/>
      <c r="N142" s="271"/>
      <c r="O142" s="271"/>
      <c r="P142" s="271"/>
      <c r="Q142" s="271"/>
      <c r="R142" s="271"/>
      <c r="S142" s="271"/>
      <c r="T142" s="271"/>
      <c r="U142" s="272"/>
      <c r="V142" s="106"/>
    </row>
    <row r="143" spans="1:22" ht="15.5" x14ac:dyDescent="0.35">
      <c r="A143" s="106"/>
      <c r="B143" s="139"/>
      <c r="C143" s="65"/>
      <c r="D143" s="65"/>
      <c r="E143" s="65"/>
      <c r="F143" s="65"/>
      <c r="G143" s="65"/>
      <c r="H143" s="65"/>
      <c r="I143" s="65"/>
      <c r="J143" s="65"/>
      <c r="K143" s="65"/>
      <c r="L143" s="65"/>
      <c r="M143" s="65"/>
      <c r="N143" s="65"/>
      <c r="O143" s="65"/>
      <c r="P143" s="65"/>
      <c r="Q143" s="65"/>
      <c r="R143" s="65"/>
      <c r="S143" s="65"/>
      <c r="T143" s="65"/>
      <c r="U143" s="148"/>
      <c r="V143" s="106"/>
    </row>
    <row r="144" spans="1:22" ht="15.5" x14ac:dyDescent="0.35">
      <c r="A144" s="106"/>
      <c r="B144" s="139"/>
      <c r="C144" s="131" t="s">
        <v>84</v>
      </c>
      <c r="D144" s="285" t="s">
        <v>147</v>
      </c>
      <c r="E144" s="285"/>
      <c r="F144" s="285"/>
      <c r="G144" s="285"/>
      <c r="H144" s="285"/>
      <c r="I144" s="285"/>
      <c r="J144" s="285"/>
      <c r="K144" s="285"/>
      <c r="L144" s="285"/>
      <c r="M144" s="285"/>
      <c r="N144" s="285"/>
      <c r="O144" s="143"/>
      <c r="P144" s="143"/>
      <c r="Q144" s="143"/>
      <c r="R144" s="143"/>
      <c r="S144" s="143"/>
      <c r="T144" s="143"/>
      <c r="U144" s="147"/>
      <c r="V144" s="106"/>
    </row>
    <row r="145" spans="1:22" ht="15.5" x14ac:dyDescent="0.35">
      <c r="A145" s="106"/>
      <c r="B145" s="139"/>
      <c r="C145" s="131"/>
      <c r="D145" s="143"/>
      <c r="E145" s="143"/>
      <c r="F145" s="143"/>
      <c r="G145" s="143"/>
      <c r="H145" s="143"/>
      <c r="I145" s="143"/>
      <c r="J145" s="143"/>
      <c r="K145" s="143"/>
      <c r="L145" s="143"/>
      <c r="M145" s="143"/>
      <c r="N145" s="143"/>
      <c r="O145" s="143"/>
      <c r="P145" s="143"/>
      <c r="Q145" s="143"/>
      <c r="R145" s="143"/>
      <c r="S145" s="143"/>
      <c r="T145" s="143"/>
      <c r="U145" s="147"/>
      <c r="V145" s="106"/>
    </row>
    <row r="146" spans="1:22" ht="15.5" x14ac:dyDescent="0.35">
      <c r="A146" s="106"/>
      <c r="B146" s="139"/>
      <c r="C146" s="131" t="s">
        <v>84</v>
      </c>
      <c r="D146" s="264" t="s">
        <v>149</v>
      </c>
      <c r="E146" s="264"/>
      <c r="F146" s="264"/>
      <c r="G146" s="264"/>
      <c r="H146" s="264"/>
      <c r="I146" s="264"/>
      <c r="J146" s="264"/>
      <c r="K146" s="264"/>
      <c r="L146" s="264"/>
      <c r="M146" s="264"/>
      <c r="N146" s="264"/>
      <c r="O146" s="152"/>
      <c r="P146" s="152"/>
      <c r="Q146" s="152"/>
      <c r="R146" s="152"/>
      <c r="S146" s="152"/>
      <c r="T146" s="152"/>
      <c r="U146" s="153"/>
      <c r="V146" s="106"/>
    </row>
    <row r="147" spans="1:22" ht="15.5" x14ac:dyDescent="0.35">
      <c r="A147" s="106"/>
      <c r="B147" s="139"/>
      <c r="C147" s="131"/>
      <c r="D147" s="145"/>
      <c r="E147" s="145"/>
      <c r="F147" s="145"/>
      <c r="G147" s="145"/>
      <c r="H147" s="145"/>
      <c r="I147" s="145"/>
      <c r="J147" s="145"/>
      <c r="K147" s="145"/>
      <c r="L147" s="145"/>
      <c r="M147" s="145"/>
      <c r="N147" s="145"/>
      <c r="O147" s="152"/>
      <c r="P147" s="152"/>
      <c r="Q147" s="152"/>
      <c r="R147" s="152"/>
      <c r="S147" s="152"/>
      <c r="T147" s="152"/>
      <c r="U147" s="153"/>
      <c r="V147" s="106"/>
    </row>
    <row r="148" spans="1:22" ht="15.5" x14ac:dyDescent="0.35">
      <c r="A148" s="106"/>
      <c r="B148" s="139"/>
      <c r="C148" s="131" t="s">
        <v>84</v>
      </c>
      <c r="D148" s="277" t="s">
        <v>229</v>
      </c>
      <c r="E148" s="277"/>
      <c r="F148" s="277"/>
      <c r="G148" s="277"/>
      <c r="H148" s="277"/>
      <c r="I148" s="277"/>
      <c r="J148" s="277"/>
      <c r="K148" s="277"/>
      <c r="L148" s="277"/>
      <c r="M148" s="277"/>
      <c r="N148" s="277"/>
      <c r="O148" s="277"/>
      <c r="P148" s="277"/>
      <c r="Q148" s="277"/>
      <c r="R148" s="277"/>
      <c r="S148" s="277"/>
      <c r="T148" s="277"/>
      <c r="U148" s="153"/>
      <c r="V148" s="106"/>
    </row>
    <row r="149" spans="1:22" ht="15.5" x14ac:dyDescent="0.35">
      <c r="A149" s="106"/>
      <c r="B149" s="139"/>
      <c r="C149" s="131"/>
      <c r="D149" s="277"/>
      <c r="E149" s="277"/>
      <c r="F149" s="277"/>
      <c r="G149" s="277"/>
      <c r="H149" s="277"/>
      <c r="I149" s="277"/>
      <c r="J149" s="277"/>
      <c r="K149" s="277"/>
      <c r="L149" s="277"/>
      <c r="M149" s="277"/>
      <c r="N149" s="277"/>
      <c r="O149" s="277"/>
      <c r="P149" s="277"/>
      <c r="Q149" s="277"/>
      <c r="R149" s="277"/>
      <c r="S149" s="277"/>
      <c r="T149" s="277"/>
      <c r="U149" s="153"/>
      <c r="V149" s="106"/>
    </row>
    <row r="150" spans="1:22" ht="15.5" x14ac:dyDescent="0.35">
      <c r="A150" s="106"/>
      <c r="B150" s="139"/>
      <c r="C150" s="143"/>
      <c r="D150" s="131"/>
      <c r="E150" s="143"/>
      <c r="F150" s="118"/>
      <c r="G150" s="118"/>
      <c r="H150" s="118"/>
      <c r="I150" s="118"/>
      <c r="J150" s="143"/>
      <c r="K150" s="143"/>
      <c r="L150" s="143"/>
      <c r="M150" s="143"/>
      <c r="N150" s="143"/>
      <c r="O150" s="143"/>
      <c r="P150" s="143"/>
      <c r="Q150" s="143"/>
      <c r="R150" s="143"/>
      <c r="S150" s="143"/>
      <c r="T150" s="143"/>
      <c r="U150" s="147"/>
      <c r="V150" s="106"/>
    </row>
    <row r="151" spans="1:22" ht="15.5" x14ac:dyDescent="0.35">
      <c r="A151" s="106"/>
      <c r="B151" s="139"/>
      <c r="C151" s="131" t="s">
        <v>84</v>
      </c>
      <c r="D151" s="251" t="s">
        <v>146</v>
      </c>
      <c r="E151" s="251"/>
      <c r="F151" s="251"/>
      <c r="G151" s="291" t="s">
        <v>106</v>
      </c>
      <c r="H151" s="291"/>
      <c r="I151" s="291"/>
      <c r="J151" s="291"/>
      <c r="K151" s="251" t="s">
        <v>148</v>
      </c>
      <c r="L151" s="251"/>
      <c r="M151" s="251"/>
      <c r="N151" s="251"/>
      <c r="O151" s="251"/>
      <c r="P151" s="251"/>
      <c r="Q151" s="251"/>
      <c r="R151" s="251"/>
      <c r="S151" s="251"/>
      <c r="T151" s="251"/>
      <c r="U151" s="154"/>
      <c r="V151" s="106"/>
    </row>
    <row r="152" spans="1:22" ht="15.5" x14ac:dyDescent="0.35">
      <c r="A152" s="106"/>
      <c r="B152" s="139"/>
      <c r="C152" s="143"/>
      <c r="D152" s="155"/>
      <c r="E152" s="155"/>
      <c r="F152" s="155"/>
      <c r="G152" s="155"/>
      <c r="H152" s="155"/>
      <c r="I152" s="155"/>
      <c r="J152" s="155"/>
      <c r="K152" s="155"/>
      <c r="L152" s="155"/>
      <c r="M152" s="155"/>
      <c r="N152" s="155"/>
      <c r="O152" s="155"/>
      <c r="P152" s="156"/>
      <c r="Q152" s="156"/>
      <c r="R152" s="156"/>
      <c r="S152" s="156"/>
      <c r="T152" s="156"/>
      <c r="U152" s="157"/>
      <c r="V152" s="106"/>
    </row>
    <row r="153" spans="1:22" ht="15.5" x14ac:dyDescent="0.35">
      <c r="A153" s="106"/>
      <c r="B153" s="139"/>
      <c r="C153" s="131" t="s">
        <v>84</v>
      </c>
      <c r="D153" s="251" t="s">
        <v>167</v>
      </c>
      <c r="E153" s="251"/>
      <c r="F153" s="251"/>
      <c r="G153" s="251"/>
      <c r="H153" s="251"/>
      <c r="I153" s="251"/>
      <c r="J153" s="251"/>
      <c r="K153" s="251"/>
      <c r="L153" s="251"/>
      <c r="M153" s="251"/>
      <c r="N153" s="251"/>
      <c r="O153" s="251"/>
      <c r="P153" s="251"/>
      <c r="Q153" s="251"/>
      <c r="R153" s="251"/>
      <c r="S153" s="251"/>
      <c r="T153" s="251"/>
      <c r="U153" s="252"/>
      <c r="V153" s="106"/>
    </row>
    <row r="154" spans="1:22" ht="15.5" x14ac:dyDescent="0.35">
      <c r="A154" s="106"/>
      <c r="B154" s="139"/>
      <c r="C154" s="143"/>
      <c r="D154" s="251"/>
      <c r="E154" s="251"/>
      <c r="F154" s="251"/>
      <c r="G154" s="251"/>
      <c r="H154" s="251"/>
      <c r="I154" s="251"/>
      <c r="J154" s="251"/>
      <c r="K154" s="251"/>
      <c r="L154" s="251"/>
      <c r="M154" s="251"/>
      <c r="N154" s="251"/>
      <c r="O154" s="251"/>
      <c r="P154" s="251"/>
      <c r="Q154" s="251"/>
      <c r="R154" s="251"/>
      <c r="S154" s="251"/>
      <c r="T154" s="251"/>
      <c r="U154" s="252"/>
      <c r="V154" s="106"/>
    </row>
    <row r="155" spans="1:22" ht="15.5" x14ac:dyDescent="0.35">
      <c r="A155" s="106"/>
      <c r="B155" s="139"/>
      <c r="C155" s="143"/>
      <c r="D155" s="135"/>
      <c r="E155" s="135"/>
      <c r="F155" s="135"/>
      <c r="G155" s="135"/>
      <c r="H155" s="135"/>
      <c r="I155" s="135"/>
      <c r="J155" s="135"/>
      <c r="K155" s="135"/>
      <c r="L155" s="135"/>
      <c r="M155" s="135"/>
      <c r="N155" s="135"/>
      <c r="O155" s="135"/>
      <c r="P155" s="135"/>
      <c r="Q155" s="135"/>
      <c r="R155" s="135"/>
      <c r="S155" s="135"/>
      <c r="T155" s="135"/>
      <c r="U155" s="136"/>
      <c r="V155" s="106"/>
    </row>
    <row r="156" spans="1:22" ht="15.5" x14ac:dyDescent="0.35">
      <c r="A156" s="106"/>
      <c r="B156" s="139"/>
      <c r="C156" s="131" t="s">
        <v>84</v>
      </c>
      <c r="D156" s="277" t="s">
        <v>171</v>
      </c>
      <c r="E156" s="277"/>
      <c r="F156" s="277"/>
      <c r="G156" s="277"/>
      <c r="H156" s="277"/>
      <c r="I156" s="277"/>
      <c r="J156" s="277"/>
      <c r="K156" s="277"/>
      <c r="L156" s="277"/>
      <c r="M156" s="277"/>
      <c r="N156" s="277"/>
      <c r="O156" s="277"/>
      <c r="P156" s="277"/>
      <c r="Q156" s="277"/>
      <c r="R156" s="277"/>
      <c r="S156" s="277"/>
      <c r="T156" s="277"/>
      <c r="U156" s="278"/>
      <c r="V156" s="106"/>
    </row>
    <row r="157" spans="1:22" ht="15.5" x14ac:dyDescent="0.35">
      <c r="A157" s="106"/>
      <c r="B157" s="139"/>
      <c r="C157" s="131"/>
      <c r="D157" s="277"/>
      <c r="E157" s="277"/>
      <c r="F157" s="277"/>
      <c r="G157" s="277"/>
      <c r="H157" s="277"/>
      <c r="I157" s="277"/>
      <c r="J157" s="277"/>
      <c r="K157" s="277"/>
      <c r="L157" s="277"/>
      <c r="M157" s="277"/>
      <c r="N157" s="277"/>
      <c r="O157" s="277"/>
      <c r="P157" s="277"/>
      <c r="Q157" s="277"/>
      <c r="R157" s="277"/>
      <c r="S157" s="277"/>
      <c r="T157" s="277"/>
      <c r="U157" s="278"/>
      <c r="V157" s="106"/>
    </row>
    <row r="158" spans="1:22" ht="15.5" x14ac:dyDescent="0.35">
      <c r="A158" s="106"/>
      <c r="B158" s="139"/>
      <c r="C158" s="143"/>
      <c r="D158" s="135"/>
      <c r="E158" s="135"/>
      <c r="F158" s="135"/>
      <c r="G158" s="135"/>
      <c r="H158" s="135"/>
      <c r="I158" s="135"/>
      <c r="J158" s="135"/>
      <c r="K158" s="135"/>
      <c r="L158" s="135"/>
      <c r="M158" s="135"/>
      <c r="N158" s="135"/>
      <c r="O158" s="135"/>
      <c r="P158" s="135"/>
      <c r="Q158" s="135"/>
      <c r="R158" s="135"/>
      <c r="S158" s="135"/>
      <c r="T158" s="135"/>
      <c r="U158" s="136"/>
      <c r="V158" s="106"/>
    </row>
    <row r="159" spans="1:22" ht="15.5" x14ac:dyDescent="0.35">
      <c r="A159" s="106"/>
      <c r="B159" s="139"/>
      <c r="C159" s="143"/>
      <c r="D159" s="135"/>
      <c r="E159" s="135"/>
      <c r="F159" s="135"/>
      <c r="G159" s="135"/>
      <c r="H159" s="135"/>
      <c r="I159" s="135"/>
      <c r="J159" s="135"/>
      <c r="K159" s="135"/>
      <c r="L159" s="135"/>
      <c r="M159" s="135"/>
      <c r="N159" s="135"/>
      <c r="O159" s="135"/>
      <c r="P159" s="135"/>
      <c r="Q159" s="135"/>
      <c r="R159" s="135"/>
      <c r="S159" s="135"/>
      <c r="T159" s="257" t="s">
        <v>143</v>
      </c>
      <c r="U159" s="258"/>
      <c r="V159" s="106"/>
    </row>
    <row r="160" spans="1:22" ht="15.5" x14ac:dyDescent="0.35">
      <c r="A160" s="106"/>
      <c r="B160" s="158"/>
      <c r="C160" s="159"/>
      <c r="D160" s="159"/>
      <c r="E160" s="159"/>
      <c r="F160" s="159"/>
      <c r="G160" s="159"/>
      <c r="H160" s="159"/>
      <c r="I160" s="159"/>
      <c r="J160" s="159"/>
      <c r="K160" s="159"/>
      <c r="L160" s="159"/>
      <c r="M160" s="159"/>
      <c r="N160" s="159"/>
      <c r="O160" s="159"/>
      <c r="P160" s="159"/>
      <c r="Q160" s="159"/>
      <c r="R160" s="159"/>
      <c r="S160" s="159"/>
      <c r="T160" s="289"/>
      <c r="U160" s="290"/>
      <c r="V160" s="106"/>
    </row>
    <row r="161" spans="1:22" x14ac:dyDescent="0.35">
      <c r="A161" s="106"/>
      <c r="B161" s="106"/>
      <c r="C161" s="106"/>
      <c r="D161" s="106"/>
      <c r="E161" s="106"/>
      <c r="F161" s="106"/>
      <c r="G161" s="106"/>
      <c r="H161" s="106"/>
      <c r="I161" s="106"/>
      <c r="J161" s="106"/>
      <c r="K161" s="106"/>
      <c r="L161" s="106"/>
      <c r="M161" s="106"/>
      <c r="N161" s="106"/>
      <c r="O161" s="106"/>
      <c r="P161" s="106"/>
      <c r="Q161" s="106"/>
      <c r="R161" s="106"/>
      <c r="S161" s="106"/>
      <c r="T161" s="106"/>
      <c r="U161" s="106"/>
      <c r="V161" s="106"/>
    </row>
  </sheetData>
  <sheetProtection password="BEE3" sheet="1" objects="1" scenarios="1"/>
  <mergeCells count="100">
    <mergeCell ref="D146:N146"/>
    <mergeCell ref="D124:U124"/>
    <mergeCell ref="D126:U126"/>
    <mergeCell ref="D128:U128"/>
    <mergeCell ref="D129:U129"/>
    <mergeCell ref="D133:S133"/>
    <mergeCell ref="D135:U136"/>
    <mergeCell ref="T138:U138"/>
    <mergeCell ref="T159:U159"/>
    <mergeCell ref="T160:U160"/>
    <mergeCell ref="D148:T149"/>
    <mergeCell ref="D151:F151"/>
    <mergeCell ref="G151:J151"/>
    <mergeCell ref="K151:T151"/>
    <mergeCell ref="D153:U154"/>
    <mergeCell ref="D156:U157"/>
    <mergeCell ref="D55:T55"/>
    <mergeCell ref="D57:T58"/>
    <mergeCell ref="D60:T61"/>
    <mergeCell ref="C140:U142"/>
    <mergeCell ref="D144:N144"/>
    <mergeCell ref="D123:U123"/>
    <mergeCell ref="E105:U105"/>
    <mergeCell ref="D107:U107"/>
    <mergeCell ref="T108:U108"/>
    <mergeCell ref="C110:U110"/>
    <mergeCell ref="D112:U112"/>
    <mergeCell ref="D114:U114"/>
    <mergeCell ref="D115:U115"/>
    <mergeCell ref="T116:U116"/>
    <mergeCell ref="C118:U119"/>
    <mergeCell ref="D121:U121"/>
    <mergeCell ref="D122:U122"/>
    <mergeCell ref="D130:U130"/>
    <mergeCell ref="D131:U131"/>
    <mergeCell ref="E103:U104"/>
    <mergeCell ref="D81:U82"/>
    <mergeCell ref="D84:U85"/>
    <mergeCell ref="D87:U87"/>
    <mergeCell ref="D88:U88"/>
    <mergeCell ref="T89:U89"/>
    <mergeCell ref="C91:U91"/>
    <mergeCell ref="D93:U93"/>
    <mergeCell ref="E95:U95"/>
    <mergeCell ref="E96:U97"/>
    <mergeCell ref="C99:J99"/>
    <mergeCell ref="D101:U101"/>
    <mergeCell ref="C89:G89"/>
    <mergeCell ref="D79:U79"/>
    <mergeCell ref="E63:I63"/>
    <mergeCell ref="E64:I64"/>
    <mergeCell ref="E65:I65"/>
    <mergeCell ref="E66:I66"/>
    <mergeCell ref="D68:U68"/>
    <mergeCell ref="D70:U71"/>
    <mergeCell ref="C72:D72"/>
    <mergeCell ref="T72:U72"/>
    <mergeCell ref="C74:U74"/>
    <mergeCell ref="D76:U77"/>
    <mergeCell ref="D78:U78"/>
    <mergeCell ref="E36:U36"/>
    <mergeCell ref="E37:U37"/>
    <mergeCell ref="E39:S39"/>
    <mergeCell ref="D25:J25"/>
    <mergeCell ref="K25:S25"/>
    <mergeCell ref="D26:J26"/>
    <mergeCell ref="K26:S26"/>
    <mergeCell ref="K27:S27"/>
    <mergeCell ref="D49:U49"/>
    <mergeCell ref="C51:J51"/>
    <mergeCell ref="T51:U51"/>
    <mergeCell ref="C53:U53"/>
    <mergeCell ref="D41:T41"/>
    <mergeCell ref="D22:J22"/>
    <mergeCell ref="K22:S22"/>
    <mergeCell ref="D23:J23"/>
    <mergeCell ref="K23:S23"/>
    <mergeCell ref="K28:S28"/>
    <mergeCell ref="D27:I27"/>
    <mergeCell ref="B2:U2"/>
    <mergeCell ref="C4:U4"/>
    <mergeCell ref="D6:U6"/>
    <mergeCell ref="D8:U8"/>
    <mergeCell ref="D10:U10"/>
    <mergeCell ref="C12:G12"/>
    <mergeCell ref="D43:U45"/>
    <mergeCell ref="C47:G47"/>
    <mergeCell ref="D20:U20"/>
    <mergeCell ref="D21:J21"/>
    <mergeCell ref="T12:U12"/>
    <mergeCell ref="C14:U14"/>
    <mergeCell ref="D16:U16"/>
    <mergeCell ref="C18:G18"/>
    <mergeCell ref="E38:R38"/>
    <mergeCell ref="D24:J24"/>
    <mergeCell ref="K24:S24"/>
    <mergeCell ref="T30:U30"/>
    <mergeCell ref="C32:U32"/>
    <mergeCell ref="D34:U34"/>
    <mergeCell ref="K21:S21"/>
  </mergeCells>
  <hyperlinks>
    <hyperlink ref="C18" r:id="rId1" xr:uid="{00000000-0004-0000-0100-000000000000}"/>
    <hyperlink ref="C47" r:id="rId2" xr:uid="{00000000-0004-0000-0100-000001000000}"/>
    <hyperlink ref="T12:U12" location="'Checklist &amp; Resources'!A1" display="Back to Checklist " xr:uid="{00000000-0004-0000-0100-000002000000}"/>
    <hyperlink ref="C18:G18" r:id="rId3" display="Singapore's Free Trade Agreements" xr:uid="{00000000-0004-0000-0100-000003000000}"/>
    <hyperlink ref="D21:J21" r:id="rId4" display="ASEAN Trade In Goods Agreement " xr:uid="{00000000-0004-0000-0100-000004000000}"/>
    <hyperlink ref="D22:J22" r:id="rId5" display="ASEAN-China Free Trade Area" xr:uid="{00000000-0004-0000-0100-000005000000}"/>
    <hyperlink ref="D23:J23" r:id="rId6" display="ASEAN-Australia-New Zealand Free Trade Area " xr:uid="{00000000-0004-0000-0100-000006000000}"/>
    <hyperlink ref="D24:J24" r:id="rId7" display="ASEAN-Japan Comprehensive Economic Partnership " xr:uid="{00000000-0004-0000-0100-000007000000}"/>
    <hyperlink ref="D25:J25" r:id="rId8" display="ASEAN-Korea Free Trade Area " xr:uid="{00000000-0004-0000-0100-000008000000}"/>
    <hyperlink ref="D26:J26" r:id="rId9" display="ASEAN-India Free Trade Area " xr:uid="{00000000-0004-0000-0100-000009000000}"/>
    <hyperlink ref="K21:S21" r:id="rId10" display="China-Singapore Free Trade Area " xr:uid="{00000000-0004-0000-0100-00000A000000}"/>
    <hyperlink ref="K22:S22" r:id="rId11" display="India-Singapore Comprehensive Economic Cooperation Agreement " xr:uid="{00000000-0004-0000-0100-00000B000000}"/>
    <hyperlink ref="K23:S23" r:id="rId12" display="Gulf Cooperation Council - Singapore Free Trade Agreement" xr:uid="{00000000-0004-0000-0100-00000C000000}"/>
    <hyperlink ref="K24:S24" r:id="rId13" display="Japan-Singapore Economic Partnership Agreement " xr:uid="{00000000-0004-0000-0100-00000D000000}"/>
    <hyperlink ref="K25:S25" r:id="rId14" display="Korea-Singapore Free Trade Agreement (KSFTA)" xr:uid="{00000000-0004-0000-0100-00000E000000}"/>
    <hyperlink ref="K26:S26" r:id="rId15" display="Peru-Singapore Free Trade Agreement (PeSFTA)" xr:uid="{00000000-0004-0000-0100-00000F000000}"/>
    <hyperlink ref="K27:S27" r:id="rId16" display="Singapore-Jordan Free Trade Agreement (SJFTA)" xr:uid="{00000000-0004-0000-0100-000010000000}"/>
    <hyperlink ref="K28:S28" r:id="rId17" display="Sri Lanka-Singapore Free Trade Agreement (SLSFTA)" xr:uid="{00000000-0004-0000-0100-000011000000}"/>
    <hyperlink ref="T30:U30" location="'Checklist &amp; Resources'!A1" display="Back to Checklist " xr:uid="{00000000-0004-0000-0100-000012000000}"/>
    <hyperlink ref="T51:U51" location="'Checklist &amp; Resources'!A1" display="Back to Checklist " xr:uid="{00000000-0004-0000-0100-000013000000}"/>
    <hyperlink ref="T89:U89" location="'Checklist &amp; Resources'!A1" display="Back to Checklist " xr:uid="{00000000-0004-0000-0100-000014000000}"/>
    <hyperlink ref="T108:U108" location="'Checklist &amp; Resources'!A1" display="Back to Checklist " xr:uid="{00000000-0004-0000-0100-000015000000}"/>
    <hyperlink ref="T116:U116" location="'Checklist &amp; Resources'!A1" display="Back to Checklist " xr:uid="{00000000-0004-0000-0100-000016000000}"/>
    <hyperlink ref="T138:U138" location="'Checklist &amp; Resources'!A1" display="Back to Checklist " xr:uid="{00000000-0004-0000-0100-000017000000}"/>
    <hyperlink ref="T159:U159" location="'Checklist &amp; Resources'!A1" display="Back to Checklist " xr:uid="{00000000-0004-0000-0100-000018000000}"/>
    <hyperlink ref="T72:U72" location="'Checklist &amp; Resources'!A1" display="Back to Checklist " xr:uid="{00000000-0004-0000-0100-000019000000}"/>
    <hyperlink ref="G151" r:id="rId18" xr:uid="{00000000-0004-0000-0100-00001A000000}"/>
    <hyperlink ref="C47:G47" r:id="rId19" display="Singapore's Free Trade Agreements" xr:uid="{00000000-0004-0000-0100-00001B000000}"/>
    <hyperlink ref="C89" r:id="rId20" xr:uid="{00000000-0004-0000-0100-00001C000000}"/>
    <hyperlink ref="C89:G89" r:id="rId21" display="Singapore's Free Trade Agreements" xr:uid="{00000000-0004-0000-0100-00001D000000}"/>
    <hyperlink ref="C12:G12" r:id="rId22" display="Manufacturer's Application Form" xr:uid="{00000000-0004-0000-0100-00001E000000}"/>
    <hyperlink ref="D27:I27" r:id="rId23" display="ASEAN-Hong Kong Free Trade Agreement" xr:uid="{00000000-0004-0000-0100-00001F000000}"/>
    <hyperlink ref="C51:J51" r:id="rId24" display="Handbook on rules of origin for preferential Certificates of Origin " xr:uid="{00000000-0004-0000-0100-000020000000}"/>
    <hyperlink ref="C99:J99" r:id="rId25" display="Handbook on rules of origin for preferential Certificates of Origin " xr:uid="{00000000-0004-0000-0100-000021000000}"/>
  </hyperlinks>
  <pageMargins left="0.7" right="0.7" top="0.75" bottom="0.75" header="0.3" footer="0.3"/>
  <pageSetup paperSize="9" orientation="portrait" r:id="rId2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7" tint="-0.249977111117893"/>
    <pageSetUpPr fitToPage="1"/>
  </sheetPr>
  <dimension ref="A1:V78"/>
  <sheetViews>
    <sheetView showGridLines="0" showZeros="0" tabSelected="1" topLeftCell="B13" zoomScale="70" zoomScaleNormal="70" zoomScaleSheetLayoutView="70" zoomScalePageLayoutView="60" workbookViewId="0">
      <selection activeCell="G21" sqref="G21:G24"/>
    </sheetView>
  </sheetViews>
  <sheetFormatPr defaultColWidth="9.1796875" defaultRowHeight="18.5" x14ac:dyDescent="0.45"/>
  <cols>
    <col min="1" max="1" width="3.26953125" style="2" hidden="1" customWidth="1"/>
    <col min="2" max="2" width="3.453125" style="2" customWidth="1"/>
    <col min="3" max="3" width="7.7265625" style="2" customWidth="1"/>
    <col min="4" max="4" width="35.1796875" style="6" customWidth="1"/>
    <col min="5" max="5" width="19" style="6" customWidth="1"/>
    <col min="6" max="6" width="20.54296875" style="6" customWidth="1"/>
    <col min="7" max="7" width="33.81640625" style="6" customWidth="1"/>
    <col min="8" max="8" width="15.81640625" style="8" customWidth="1"/>
    <col min="9" max="9" width="19.1796875" style="8" customWidth="1"/>
    <col min="10" max="10" width="6" style="2" customWidth="1"/>
    <col min="11" max="11" width="26.1796875" style="2" customWidth="1"/>
    <col min="12" max="13" width="9.1796875" style="2"/>
    <col min="14" max="14" width="0" style="2" hidden="1" customWidth="1"/>
    <col min="15" max="15" width="9.1796875" style="2" customWidth="1"/>
    <col min="16" max="20" width="9.1796875" style="2"/>
    <col min="21" max="21" width="27.453125" style="2" customWidth="1"/>
    <col min="22" max="16384" width="9.1796875" style="2"/>
  </cols>
  <sheetData>
    <row r="1" spans="2:21" ht="19" thickBot="1" x14ac:dyDescent="0.5">
      <c r="B1" s="85"/>
      <c r="C1" s="85"/>
      <c r="D1" s="90"/>
      <c r="E1" s="90"/>
      <c r="F1" s="90"/>
      <c r="G1" s="90"/>
      <c r="H1" s="172"/>
      <c r="I1" s="172"/>
      <c r="J1" s="85"/>
      <c r="K1" s="85"/>
      <c r="L1" s="85"/>
      <c r="M1" s="86"/>
      <c r="N1" s="86"/>
      <c r="O1" s="86"/>
      <c r="P1" s="86"/>
      <c r="Q1" s="86"/>
      <c r="R1" s="86"/>
      <c r="S1" s="86"/>
      <c r="T1" s="86"/>
      <c r="U1" s="86"/>
    </row>
    <row r="2" spans="2:21" ht="19.5" customHeight="1" thickBot="1" x14ac:dyDescent="0.4">
      <c r="B2" s="86"/>
      <c r="C2" s="418" t="str">
        <f>CONCATENATE("Manufacturing Cost Statement", 'List of FTAs'!I12)</f>
        <v>Manufacturing Cost Statement (MCS)</v>
      </c>
      <c r="D2" s="419"/>
      <c r="E2" s="419"/>
      <c r="F2" s="419"/>
      <c r="G2" s="419"/>
      <c r="H2" s="419"/>
      <c r="I2" s="420"/>
      <c r="J2" s="173"/>
      <c r="K2" s="433" t="s">
        <v>193</v>
      </c>
      <c r="L2" s="434"/>
      <c r="M2" s="86"/>
      <c r="N2" s="86"/>
      <c r="O2" s="86"/>
      <c r="P2" s="86"/>
      <c r="Q2" s="86"/>
      <c r="R2" s="86"/>
      <c r="S2" s="86"/>
      <c r="T2" s="86"/>
      <c r="U2" s="86"/>
    </row>
    <row r="3" spans="2:21" ht="19.5" customHeight="1" thickBot="1" x14ac:dyDescent="0.5">
      <c r="B3" s="86"/>
      <c r="C3" s="421" t="s">
        <v>170</v>
      </c>
      <c r="D3" s="422"/>
      <c r="E3" s="427" t="s">
        <v>127</v>
      </c>
      <c r="F3" s="428"/>
      <c r="G3" s="174" t="s">
        <v>128</v>
      </c>
      <c r="H3" s="429"/>
      <c r="I3" s="430"/>
      <c r="J3" s="173"/>
      <c r="K3" s="435"/>
      <c r="L3" s="436"/>
      <c r="M3" s="86"/>
      <c r="N3" s="86"/>
      <c r="O3" s="86"/>
      <c r="P3" s="86"/>
      <c r="Q3" s="86"/>
      <c r="R3" s="86"/>
      <c r="S3" s="86"/>
      <c r="T3" s="86"/>
      <c r="U3" s="86"/>
    </row>
    <row r="4" spans="2:21" ht="19.5" customHeight="1" thickBot="1" x14ac:dyDescent="0.5">
      <c r="B4" s="86"/>
      <c r="C4" s="423"/>
      <c r="D4" s="424"/>
      <c r="E4" s="175" t="s">
        <v>169</v>
      </c>
      <c r="F4" s="384"/>
      <c r="G4" s="385"/>
      <c r="H4" s="385"/>
      <c r="I4" s="386"/>
      <c r="J4" s="173"/>
      <c r="K4" s="435"/>
      <c r="L4" s="436"/>
      <c r="M4" s="86"/>
      <c r="N4" s="86"/>
      <c r="O4" s="86"/>
      <c r="P4" s="86"/>
      <c r="Q4" s="86"/>
      <c r="R4" s="86"/>
      <c r="S4" s="86"/>
      <c r="T4" s="86"/>
      <c r="U4" s="86"/>
    </row>
    <row r="5" spans="2:21" ht="19.5" customHeight="1" thickBot="1" x14ac:dyDescent="0.5">
      <c r="B5" s="86"/>
      <c r="C5" s="425"/>
      <c r="D5" s="426"/>
      <c r="E5" s="175" t="s">
        <v>130</v>
      </c>
      <c r="F5" s="176"/>
      <c r="G5" s="174" t="s">
        <v>131</v>
      </c>
      <c r="H5" s="391"/>
      <c r="I5" s="392"/>
      <c r="J5" s="173"/>
      <c r="K5" s="435"/>
      <c r="L5" s="436"/>
      <c r="M5" s="86"/>
      <c r="N5" s="86"/>
      <c r="O5" s="86"/>
      <c r="P5" s="86"/>
      <c r="Q5" s="86"/>
      <c r="R5" s="86"/>
      <c r="S5" s="86"/>
      <c r="T5" s="86"/>
      <c r="U5" s="86"/>
    </row>
    <row r="6" spans="2:21" ht="19.5" customHeight="1" thickBot="1" x14ac:dyDescent="0.4">
      <c r="B6" s="86"/>
      <c r="C6" s="348" t="s">
        <v>29</v>
      </c>
      <c r="D6" s="349"/>
      <c r="E6" s="349"/>
      <c r="F6" s="349"/>
      <c r="G6" s="349"/>
      <c r="H6" s="349"/>
      <c r="I6" s="350"/>
      <c r="J6" s="173"/>
      <c r="K6" s="435"/>
      <c r="L6" s="436"/>
      <c r="M6" s="86"/>
      <c r="N6" s="86"/>
      <c r="O6" s="86"/>
      <c r="P6" s="86"/>
      <c r="Q6" s="86"/>
      <c r="R6" s="86"/>
      <c r="S6" s="86"/>
      <c r="T6" s="86"/>
      <c r="U6" s="86"/>
    </row>
    <row r="7" spans="2:21" ht="62.25" customHeight="1" thickBot="1" x14ac:dyDescent="0.4">
      <c r="B7" s="86"/>
      <c r="C7" s="442" t="s">
        <v>0</v>
      </c>
      <c r="D7" s="443"/>
      <c r="E7" s="444"/>
      <c r="F7" s="444"/>
      <c r="G7" s="222" t="s">
        <v>211</v>
      </c>
      <c r="H7" s="445"/>
      <c r="I7" s="446"/>
      <c r="J7" s="173"/>
      <c r="K7" s="437"/>
      <c r="L7" s="438"/>
      <c r="M7" s="86"/>
      <c r="N7" s="86"/>
      <c r="O7" s="86"/>
      <c r="P7" s="86"/>
      <c r="Q7" s="86"/>
      <c r="R7" s="86"/>
      <c r="S7" s="86"/>
      <c r="T7" s="86"/>
      <c r="U7" s="86"/>
    </row>
    <row r="8" spans="2:21" ht="19.5" customHeight="1" thickBot="1" x14ac:dyDescent="0.4">
      <c r="B8" s="86"/>
      <c r="C8" s="447" t="s">
        <v>32</v>
      </c>
      <c r="D8" s="429"/>
      <c r="E8" s="429"/>
      <c r="F8" s="429"/>
      <c r="G8" s="429"/>
      <c r="H8" s="429"/>
      <c r="I8" s="430"/>
      <c r="J8" s="173"/>
      <c r="K8" s="220"/>
      <c r="L8" s="220"/>
      <c r="M8" s="86"/>
      <c r="N8" s="86"/>
      <c r="O8" s="86"/>
      <c r="P8" s="86"/>
      <c r="Q8" s="86"/>
      <c r="R8" s="86"/>
      <c r="S8" s="86"/>
      <c r="T8" s="86"/>
      <c r="U8" s="86"/>
    </row>
    <row r="9" spans="2:21" ht="29.25" customHeight="1" thickBot="1" x14ac:dyDescent="0.4">
      <c r="B9" s="86"/>
      <c r="C9" s="448" t="s">
        <v>31</v>
      </c>
      <c r="D9" s="449"/>
      <c r="E9" s="450" t="s">
        <v>49</v>
      </c>
      <c r="F9" s="451"/>
      <c r="G9" s="451"/>
      <c r="H9" s="451"/>
      <c r="I9" s="452"/>
      <c r="J9" s="173"/>
      <c r="K9" s="220"/>
      <c r="L9" s="220"/>
      <c r="M9" s="86"/>
      <c r="N9" s="86"/>
      <c r="O9" s="86"/>
      <c r="P9" s="86"/>
      <c r="Q9" s="86"/>
      <c r="R9" s="86"/>
      <c r="S9" s="86"/>
      <c r="T9" s="86"/>
      <c r="U9" s="86"/>
    </row>
    <row r="10" spans="2:21" ht="38.25" customHeight="1" thickBot="1" x14ac:dyDescent="0.4">
      <c r="B10" s="86"/>
      <c r="C10" s="348" t="s">
        <v>182</v>
      </c>
      <c r="D10" s="349"/>
      <c r="E10" s="349"/>
      <c r="F10" s="349"/>
      <c r="G10" s="349"/>
      <c r="H10" s="349"/>
      <c r="I10" s="350"/>
      <c r="J10" s="173"/>
      <c r="K10" s="219"/>
      <c r="L10" s="219"/>
      <c r="M10" s="86"/>
      <c r="N10" s="86"/>
      <c r="O10" s="86"/>
      <c r="P10" s="86"/>
      <c r="Q10" s="86"/>
      <c r="R10" s="86"/>
      <c r="S10" s="86"/>
      <c r="T10" s="86"/>
      <c r="U10" s="86"/>
    </row>
    <row r="11" spans="2:21" x14ac:dyDescent="0.45">
      <c r="B11" s="86"/>
      <c r="C11" s="395" t="s">
        <v>109</v>
      </c>
      <c r="D11" s="396"/>
      <c r="E11" s="396"/>
      <c r="F11" s="396"/>
      <c r="G11" s="396"/>
      <c r="H11" s="396"/>
      <c r="I11" s="397"/>
      <c r="J11" s="173"/>
      <c r="K11" s="219"/>
      <c r="L11" s="219"/>
      <c r="M11" s="86"/>
      <c r="N11" s="86"/>
      <c r="O11" s="86"/>
      <c r="P11" s="86"/>
      <c r="Q11" s="86"/>
      <c r="R11" s="86"/>
      <c r="S11" s="86"/>
      <c r="T11" s="86"/>
      <c r="U11" s="86"/>
    </row>
    <row r="12" spans="2:21" x14ac:dyDescent="0.45">
      <c r="B12" s="86"/>
      <c r="C12" s="398" t="s">
        <v>107</v>
      </c>
      <c r="D12" s="399"/>
      <c r="E12" s="399"/>
      <c r="F12" s="399"/>
      <c r="G12" s="399"/>
      <c r="H12" s="399"/>
      <c r="I12" s="400"/>
      <c r="J12" s="173"/>
      <c r="K12" s="219"/>
      <c r="L12" s="219"/>
      <c r="M12" s="86"/>
      <c r="N12" s="86"/>
      <c r="O12" s="86"/>
      <c r="P12" s="86"/>
      <c r="Q12" s="86"/>
      <c r="R12" s="86"/>
      <c r="S12" s="86"/>
      <c r="T12" s="86"/>
      <c r="U12" s="86"/>
    </row>
    <row r="13" spans="2:21" ht="16.5" customHeight="1" thickBot="1" x14ac:dyDescent="0.5">
      <c r="B13" s="86"/>
      <c r="C13" s="439" t="s">
        <v>108</v>
      </c>
      <c r="D13" s="440"/>
      <c r="E13" s="440"/>
      <c r="F13" s="440"/>
      <c r="G13" s="440"/>
      <c r="H13" s="440"/>
      <c r="I13" s="441"/>
      <c r="J13" s="173"/>
      <c r="K13" s="219"/>
      <c r="L13" s="219"/>
      <c r="M13" s="86"/>
      <c r="N13" s="86"/>
      <c r="O13" s="86"/>
      <c r="P13" s="86"/>
      <c r="Q13" s="86"/>
      <c r="R13" s="86"/>
      <c r="S13" s="86"/>
      <c r="T13" s="86"/>
      <c r="U13" s="86"/>
    </row>
    <row r="14" spans="2:21" ht="19.5" customHeight="1" thickBot="1" x14ac:dyDescent="0.4">
      <c r="B14" s="86"/>
      <c r="C14" s="348" t="s">
        <v>34</v>
      </c>
      <c r="D14" s="349"/>
      <c r="E14" s="349"/>
      <c r="F14" s="349"/>
      <c r="G14" s="349"/>
      <c r="H14" s="349"/>
      <c r="I14" s="350"/>
      <c r="J14" s="177"/>
      <c r="K14" s="178"/>
      <c r="L14" s="178"/>
      <c r="M14" s="86"/>
      <c r="N14" s="86"/>
      <c r="O14" s="86"/>
      <c r="P14" s="86"/>
      <c r="Q14" s="86"/>
      <c r="R14" s="86"/>
      <c r="S14" s="86"/>
      <c r="T14" s="86"/>
      <c r="U14" s="86"/>
    </row>
    <row r="15" spans="2:21" ht="19" thickBot="1" x14ac:dyDescent="0.5">
      <c r="B15" s="86"/>
      <c r="C15" s="403" t="s">
        <v>35</v>
      </c>
      <c r="D15" s="404"/>
      <c r="E15" s="409"/>
      <c r="F15" s="410"/>
      <c r="G15" s="410"/>
      <c r="H15" s="410"/>
      <c r="I15" s="411"/>
      <c r="J15" s="86"/>
      <c r="K15" s="178"/>
      <c r="L15" s="178"/>
      <c r="M15" s="86"/>
      <c r="N15" s="86"/>
      <c r="O15" s="86"/>
      <c r="P15" s="86"/>
      <c r="Q15" s="86"/>
      <c r="R15" s="86"/>
      <c r="S15" s="86"/>
      <c r="T15" s="86"/>
      <c r="U15" s="86"/>
    </row>
    <row r="16" spans="2:21" x14ac:dyDescent="0.45">
      <c r="B16" s="86"/>
      <c r="C16" s="387" t="s">
        <v>50</v>
      </c>
      <c r="D16" s="388"/>
      <c r="E16" s="412"/>
      <c r="F16" s="431"/>
      <c r="G16" s="431"/>
      <c r="H16" s="431"/>
      <c r="I16" s="432"/>
      <c r="J16" s="86"/>
      <c r="K16" s="324" t="s">
        <v>230</v>
      </c>
      <c r="L16" s="325"/>
      <c r="M16" s="86"/>
      <c r="N16" s="86"/>
      <c r="O16" s="86"/>
      <c r="P16" s="86"/>
      <c r="Q16" s="86"/>
      <c r="R16" s="86"/>
      <c r="S16" s="86"/>
      <c r="T16" s="86"/>
      <c r="U16" s="86"/>
    </row>
    <row r="17" spans="2:22" x14ac:dyDescent="0.45">
      <c r="B17" s="86"/>
      <c r="C17" s="387" t="s">
        <v>129</v>
      </c>
      <c r="D17" s="388"/>
      <c r="E17" s="412"/>
      <c r="F17" s="413"/>
      <c r="G17" s="179" t="s">
        <v>111</v>
      </c>
      <c r="H17" s="405"/>
      <c r="I17" s="406"/>
      <c r="J17" s="86"/>
      <c r="K17" s="326"/>
      <c r="L17" s="327"/>
      <c r="M17" s="86"/>
      <c r="N17" s="86"/>
      <c r="O17" s="86"/>
      <c r="P17" s="86"/>
      <c r="Q17" s="86"/>
      <c r="R17" s="86"/>
      <c r="S17" s="86"/>
      <c r="T17" s="86"/>
      <c r="U17" s="86"/>
    </row>
    <row r="18" spans="2:22" ht="19" thickBot="1" x14ac:dyDescent="0.5">
      <c r="B18" s="86"/>
      <c r="C18" s="389" t="s">
        <v>181</v>
      </c>
      <c r="D18" s="390"/>
      <c r="E18" s="407"/>
      <c r="F18" s="408"/>
      <c r="G18" s="179" t="s">
        <v>187</v>
      </c>
      <c r="H18" s="393" t="str">
        <f>IF(_xlfn.XOR(E9='List of FTAs'!A3,E9='List of FTAs'!A4,E9='List of FTAs'!A5,E9='List of FTAs'!A6,E9='List of FTAs'!A7,E9='List of FTAs'!A8,E9='List of FTAs'!A10,E9='List of FTAs'!A11,E9='List of FTAs'!A13,E9='List of FTAs'!A14,E9='List of FTAs'!A15,E9='List of FTAs'!A16,E9='List of FTAs'!A17,E9='List of FTAs'!A18,E9='List of FTAs'!A19,E9='List of FTAs'!A9), "FOB ", IF(_xlfn.XOR(E9='List of FTAs'!A12,E9='List of FTAs'!A20),"Ex-Works ",IF(E9="Please choose from the dropdown list","","")))</f>
        <v/>
      </c>
      <c r="I18" s="394"/>
      <c r="J18" s="86"/>
      <c r="K18" s="328"/>
      <c r="L18" s="329"/>
      <c r="M18" s="86"/>
      <c r="N18" s="86"/>
      <c r="O18" s="86"/>
      <c r="P18" s="86"/>
      <c r="Q18" s="86"/>
      <c r="R18" s="86"/>
      <c r="S18" s="86"/>
      <c r="T18" s="86"/>
      <c r="U18" s="86"/>
    </row>
    <row r="19" spans="2:22" ht="19" thickBot="1" x14ac:dyDescent="0.5">
      <c r="B19" s="86"/>
      <c r="C19" s="401" t="str">
        <f>CONCATENATE(H18, "Value of Good")</f>
        <v>Value of Good</v>
      </c>
      <c r="D19" s="402"/>
      <c r="E19" s="414"/>
      <c r="F19" s="415"/>
      <c r="G19" s="180" t="s">
        <v>180</v>
      </c>
      <c r="H19" s="416"/>
      <c r="I19" s="417"/>
      <c r="J19" s="173"/>
      <c r="K19" s="85"/>
      <c r="L19" s="86"/>
      <c r="M19" s="85"/>
      <c r="N19" s="86"/>
      <c r="O19" s="86"/>
      <c r="P19" s="86"/>
      <c r="Q19" s="86"/>
      <c r="R19" s="86"/>
      <c r="S19" s="86"/>
      <c r="T19" s="86"/>
      <c r="U19" s="86"/>
    </row>
    <row r="20" spans="2:22" s="6" customFormat="1" ht="19.5" customHeight="1" thickBot="1" x14ac:dyDescent="0.5">
      <c r="B20" s="87"/>
      <c r="C20" s="356" t="s">
        <v>33</v>
      </c>
      <c r="D20" s="357"/>
      <c r="E20" s="357"/>
      <c r="F20" s="357"/>
      <c r="G20" s="357"/>
      <c r="H20" s="357"/>
      <c r="I20" s="358"/>
      <c r="J20" s="87"/>
      <c r="K20" s="87"/>
      <c r="L20" s="87"/>
      <c r="M20" s="88"/>
      <c r="N20" s="88"/>
      <c r="O20" s="88"/>
      <c r="P20" s="89"/>
      <c r="Q20" s="90"/>
      <c r="R20" s="90"/>
      <c r="S20" s="90"/>
      <c r="T20" s="87"/>
      <c r="U20" s="87"/>
    </row>
    <row r="21" spans="2:22" s="6" customFormat="1" ht="21" customHeight="1" x14ac:dyDescent="0.45">
      <c r="B21" s="87"/>
      <c r="C21" s="382" t="s">
        <v>204</v>
      </c>
      <c r="D21" s="330" t="s">
        <v>205</v>
      </c>
      <c r="E21" s="330" t="s">
        <v>52</v>
      </c>
      <c r="F21" s="330" t="s">
        <v>239</v>
      </c>
      <c r="G21" s="332" t="s">
        <v>244</v>
      </c>
      <c r="H21" s="333" t="s">
        <v>28</v>
      </c>
      <c r="I21" s="334"/>
      <c r="J21" s="87"/>
      <c r="K21" s="324" t="s">
        <v>172</v>
      </c>
      <c r="L21" s="325"/>
      <c r="M21" s="91"/>
      <c r="N21" s="91"/>
      <c r="O21" s="323"/>
      <c r="P21" s="323"/>
      <c r="Q21" s="90"/>
      <c r="R21" s="90"/>
      <c r="S21" s="90"/>
      <c r="T21" s="87"/>
      <c r="U21" s="87"/>
    </row>
    <row r="22" spans="2:22" s="6" customFormat="1" ht="45.75" customHeight="1" x14ac:dyDescent="0.45">
      <c r="B22" s="87"/>
      <c r="C22" s="382"/>
      <c r="D22" s="331"/>
      <c r="E22" s="331"/>
      <c r="F22" s="331"/>
      <c r="G22" s="332"/>
      <c r="H22" s="379" t="s">
        <v>27</v>
      </c>
      <c r="I22" s="353" t="s">
        <v>3</v>
      </c>
      <c r="J22" s="87"/>
      <c r="K22" s="326"/>
      <c r="L22" s="327"/>
      <c r="M22" s="92"/>
      <c r="N22" s="92"/>
      <c r="O22" s="323"/>
      <c r="P22" s="323"/>
      <c r="Q22" s="90"/>
      <c r="R22" s="90"/>
      <c r="S22" s="90"/>
      <c r="T22" s="90"/>
      <c r="U22" s="90"/>
      <c r="V22" s="7"/>
    </row>
    <row r="23" spans="2:22" s="6" customFormat="1" ht="19" thickBot="1" x14ac:dyDescent="0.5">
      <c r="B23" s="87"/>
      <c r="C23" s="382"/>
      <c r="D23" s="331"/>
      <c r="E23" s="331"/>
      <c r="F23" s="331"/>
      <c r="G23" s="332"/>
      <c r="H23" s="380"/>
      <c r="I23" s="354"/>
      <c r="J23" s="87"/>
      <c r="K23" s="328"/>
      <c r="L23" s="329"/>
      <c r="M23" s="92"/>
      <c r="N23" s="92"/>
      <c r="O23" s="323"/>
      <c r="P23" s="323"/>
      <c r="Q23" s="90"/>
      <c r="R23" s="90"/>
      <c r="S23" s="90"/>
      <c r="T23" s="90"/>
      <c r="U23" s="90"/>
      <c r="V23" s="7"/>
    </row>
    <row r="24" spans="2:22" s="6" customFormat="1" ht="12.75" customHeight="1" thickBot="1" x14ac:dyDescent="0.5">
      <c r="B24" s="87"/>
      <c r="C24" s="383"/>
      <c r="D24" s="331"/>
      <c r="E24" s="331"/>
      <c r="F24" s="331"/>
      <c r="G24" s="330"/>
      <c r="H24" s="381"/>
      <c r="I24" s="355"/>
      <c r="J24" s="87"/>
      <c r="K24" s="93"/>
      <c r="L24" s="93"/>
      <c r="M24" s="87"/>
      <c r="N24" s="91"/>
      <c r="O24" s="92"/>
      <c r="P24" s="92"/>
      <c r="Q24" s="90"/>
      <c r="R24" s="90"/>
      <c r="S24" s="90"/>
      <c r="T24" s="90"/>
      <c r="U24" s="90"/>
      <c r="V24" s="7"/>
    </row>
    <row r="25" spans="2:22" s="6" customFormat="1" ht="18.75" customHeight="1" x14ac:dyDescent="0.45">
      <c r="B25" s="87"/>
      <c r="C25" s="221"/>
      <c r="D25" s="228"/>
      <c r="E25" s="202"/>
      <c r="F25" s="203"/>
      <c r="G25" s="204"/>
      <c r="H25" s="205"/>
      <c r="I25" s="206"/>
      <c r="J25" s="87"/>
      <c r="K25" s="367" t="s">
        <v>173</v>
      </c>
      <c r="L25" s="368"/>
      <c r="M25" s="94"/>
      <c r="N25" s="92"/>
      <c r="O25" s="92"/>
      <c r="P25" s="92"/>
      <c r="Q25" s="90"/>
      <c r="R25" s="90"/>
      <c r="S25" s="90"/>
      <c r="T25" s="87"/>
      <c r="U25" s="87"/>
    </row>
    <row r="26" spans="2:22" s="6" customFormat="1" ht="18.75" customHeight="1" x14ac:dyDescent="0.45">
      <c r="B26" s="87"/>
      <c r="C26" s="221"/>
      <c r="D26" s="228"/>
      <c r="E26" s="202"/>
      <c r="F26" s="203"/>
      <c r="G26" s="204"/>
      <c r="H26" s="205"/>
      <c r="I26" s="206"/>
      <c r="J26" s="87"/>
      <c r="K26" s="369"/>
      <c r="L26" s="370"/>
      <c r="M26" s="94"/>
      <c r="N26" s="92"/>
      <c r="O26" s="92"/>
      <c r="P26" s="92"/>
      <c r="Q26" s="90"/>
      <c r="R26" s="90"/>
      <c r="S26" s="90"/>
      <c r="T26" s="87"/>
      <c r="U26" s="87"/>
    </row>
    <row r="27" spans="2:22" s="6" customFormat="1" ht="18.75" customHeight="1" x14ac:dyDescent="0.45">
      <c r="B27" s="87"/>
      <c r="C27" s="221"/>
      <c r="D27" s="228"/>
      <c r="E27" s="202"/>
      <c r="F27" s="203"/>
      <c r="G27" s="204"/>
      <c r="H27" s="205"/>
      <c r="I27" s="206"/>
      <c r="J27" s="87"/>
      <c r="K27" s="369"/>
      <c r="L27" s="370"/>
      <c r="M27" s="94"/>
      <c r="N27" s="92"/>
      <c r="O27" s="92"/>
      <c r="P27" s="92"/>
      <c r="Q27" s="90"/>
      <c r="R27" s="90"/>
      <c r="S27" s="90"/>
      <c r="T27" s="87"/>
      <c r="U27" s="87"/>
    </row>
    <row r="28" spans="2:22" s="6" customFormat="1" ht="18.75" customHeight="1" x14ac:dyDescent="0.45">
      <c r="B28" s="87"/>
      <c r="C28" s="221"/>
      <c r="D28" s="228"/>
      <c r="E28" s="202"/>
      <c r="F28" s="203"/>
      <c r="G28" s="204"/>
      <c r="H28" s="205"/>
      <c r="I28" s="206"/>
      <c r="J28" s="87"/>
      <c r="K28" s="369"/>
      <c r="L28" s="370"/>
      <c r="M28" s="94"/>
      <c r="N28" s="92"/>
      <c r="O28" s="92"/>
      <c r="P28" s="92"/>
      <c r="Q28" s="90"/>
      <c r="R28" s="90"/>
      <c r="S28" s="90"/>
      <c r="T28" s="87"/>
      <c r="U28" s="87"/>
    </row>
    <row r="29" spans="2:22" s="6" customFormat="1" ht="18.75" customHeight="1" x14ac:dyDescent="0.45">
      <c r="B29" s="87"/>
      <c r="C29" s="221"/>
      <c r="D29" s="228"/>
      <c r="E29" s="202"/>
      <c r="F29" s="203"/>
      <c r="G29" s="204"/>
      <c r="H29" s="205"/>
      <c r="I29" s="206"/>
      <c r="J29" s="87"/>
      <c r="K29" s="369"/>
      <c r="L29" s="370"/>
      <c r="M29" s="94"/>
      <c r="N29" s="92"/>
      <c r="O29" s="92"/>
      <c r="P29" s="92"/>
      <c r="Q29" s="90"/>
      <c r="R29" s="90"/>
      <c r="S29" s="90"/>
      <c r="T29" s="87"/>
      <c r="U29" s="87"/>
    </row>
    <row r="30" spans="2:22" s="6" customFormat="1" ht="17.25" customHeight="1" x14ac:dyDescent="0.45">
      <c r="B30" s="87"/>
      <c r="C30" s="221"/>
      <c r="D30" s="228"/>
      <c r="E30" s="202"/>
      <c r="F30" s="203"/>
      <c r="G30" s="204"/>
      <c r="H30" s="205"/>
      <c r="I30" s="206"/>
      <c r="J30" s="87"/>
      <c r="K30" s="369"/>
      <c r="L30" s="370"/>
      <c r="M30" s="94"/>
      <c r="N30" s="92"/>
      <c r="O30" s="92"/>
      <c r="P30" s="92"/>
      <c r="Q30" s="90"/>
      <c r="R30" s="90"/>
      <c r="S30" s="90"/>
      <c r="T30" s="87"/>
      <c r="U30" s="87"/>
    </row>
    <row r="31" spans="2:22" s="6" customFormat="1" ht="18.75" customHeight="1" x14ac:dyDescent="0.45">
      <c r="B31" s="87"/>
      <c r="C31" s="221"/>
      <c r="D31" s="228"/>
      <c r="E31" s="202"/>
      <c r="F31" s="203"/>
      <c r="G31" s="204"/>
      <c r="H31" s="205"/>
      <c r="I31" s="206"/>
      <c r="J31" s="87"/>
      <c r="K31" s="369"/>
      <c r="L31" s="370"/>
      <c r="M31" s="94"/>
      <c r="N31" s="92"/>
      <c r="O31" s="92"/>
      <c r="P31" s="92"/>
      <c r="Q31" s="90"/>
      <c r="R31" s="90"/>
      <c r="S31" s="90"/>
      <c r="T31" s="87"/>
      <c r="U31" s="87"/>
    </row>
    <row r="32" spans="2:22" s="6" customFormat="1" ht="18.75" customHeight="1" x14ac:dyDescent="0.45">
      <c r="B32" s="87"/>
      <c r="C32" s="221"/>
      <c r="D32" s="228"/>
      <c r="E32" s="202"/>
      <c r="F32" s="203"/>
      <c r="G32" s="204"/>
      <c r="H32" s="205"/>
      <c r="I32" s="206"/>
      <c r="J32" s="87"/>
      <c r="K32" s="369"/>
      <c r="L32" s="370"/>
      <c r="M32" s="94"/>
      <c r="N32" s="92"/>
      <c r="O32" s="92"/>
      <c r="P32" s="92"/>
      <c r="Q32" s="90"/>
      <c r="R32" s="90"/>
      <c r="S32" s="90"/>
      <c r="T32" s="87"/>
      <c r="U32" s="87"/>
    </row>
    <row r="33" spans="2:21" s="6" customFormat="1" ht="18.75" customHeight="1" x14ac:dyDescent="0.45">
      <c r="B33" s="87"/>
      <c r="C33" s="221"/>
      <c r="D33" s="228"/>
      <c r="E33" s="202"/>
      <c r="F33" s="203"/>
      <c r="G33" s="204"/>
      <c r="H33" s="205"/>
      <c r="I33" s="206"/>
      <c r="J33" s="87"/>
      <c r="K33" s="369"/>
      <c r="L33" s="370"/>
      <c r="M33" s="94"/>
      <c r="N33" s="92"/>
      <c r="O33" s="92"/>
      <c r="P33" s="92"/>
      <c r="Q33" s="90"/>
      <c r="R33" s="90"/>
      <c r="S33" s="90"/>
      <c r="T33" s="87"/>
      <c r="U33" s="87"/>
    </row>
    <row r="34" spans="2:21" s="6" customFormat="1" x14ac:dyDescent="0.45">
      <c r="B34" s="87"/>
      <c r="C34" s="221"/>
      <c r="D34" s="228"/>
      <c r="E34" s="207"/>
      <c r="F34" s="208"/>
      <c r="G34" s="209"/>
      <c r="H34" s="210"/>
      <c r="I34" s="211"/>
      <c r="J34" s="87"/>
      <c r="K34" s="369"/>
      <c r="L34" s="370"/>
      <c r="M34" s="94"/>
      <c r="N34" s="94"/>
      <c r="O34" s="94"/>
      <c r="P34" s="94"/>
      <c r="Q34" s="87"/>
      <c r="R34" s="87"/>
      <c r="S34" s="87"/>
      <c r="T34" s="87"/>
      <c r="U34" s="87"/>
    </row>
    <row r="35" spans="2:21" s="6" customFormat="1" ht="19" thickBot="1" x14ac:dyDescent="0.5">
      <c r="B35" s="87"/>
      <c r="C35" s="340" t="s">
        <v>4</v>
      </c>
      <c r="D35" s="341"/>
      <c r="E35" s="341"/>
      <c r="F35" s="341"/>
      <c r="G35" s="341"/>
      <c r="H35" s="224">
        <f>SUM(H25:H34)</f>
        <v>0</v>
      </c>
      <c r="I35" s="225">
        <f>SUM(I25:I34)</f>
        <v>0</v>
      </c>
      <c r="J35" s="87"/>
      <c r="K35" s="371"/>
      <c r="L35" s="372"/>
      <c r="M35" s="87"/>
      <c r="N35" s="87"/>
      <c r="O35" s="87"/>
      <c r="P35" s="87"/>
      <c r="Q35" s="87"/>
      <c r="R35" s="87"/>
      <c r="S35" s="87"/>
      <c r="T35" s="87"/>
      <c r="U35" s="87"/>
    </row>
    <row r="36" spans="2:21" s="6" customFormat="1" ht="18.75" customHeight="1" x14ac:dyDescent="0.45">
      <c r="B36" s="87"/>
      <c r="C36" s="337" t="s">
        <v>5</v>
      </c>
      <c r="D36" s="338"/>
      <c r="E36" s="338"/>
      <c r="F36" s="338"/>
      <c r="G36" s="338"/>
      <c r="H36" s="339"/>
      <c r="I36" s="226"/>
      <c r="J36" s="87"/>
      <c r="K36" s="87"/>
      <c r="L36" s="87"/>
      <c r="M36" s="87"/>
      <c r="N36" s="87"/>
      <c r="O36" s="87"/>
      <c r="P36" s="87"/>
      <c r="Q36" s="87"/>
      <c r="R36" s="87"/>
      <c r="S36" s="87"/>
      <c r="T36" s="87"/>
      <c r="U36" s="87"/>
    </row>
    <row r="37" spans="2:21" s="6" customFormat="1" ht="18.75" customHeight="1" x14ac:dyDescent="0.45">
      <c r="B37" s="87"/>
      <c r="C37" s="342" t="s">
        <v>6</v>
      </c>
      <c r="D37" s="343"/>
      <c r="E37" s="343"/>
      <c r="F37" s="343"/>
      <c r="G37" s="343"/>
      <c r="H37" s="344"/>
      <c r="I37" s="226"/>
      <c r="J37" s="87"/>
      <c r="K37" s="87"/>
      <c r="L37" s="87"/>
      <c r="M37" s="87"/>
      <c r="N37" s="87"/>
      <c r="O37" s="87"/>
      <c r="P37" s="87"/>
      <c r="Q37" s="87"/>
      <c r="R37" s="87"/>
      <c r="S37" s="87"/>
      <c r="T37" s="87"/>
      <c r="U37" s="87"/>
    </row>
    <row r="38" spans="2:21" s="6" customFormat="1" ht="21" customHeight="1" thickBot="1" x14ac:dyDescent="0.5">
      <c r="B38" s="87"/>
      <c r="C38" s="342" t="s">
        <v>56</v>
      </c>
      <c r="D38" s="343"/>
      <c r="E38" s="343"/>
      <c r="F38" s="343"/>
      <c r="G38" s="343"/>
      <c r="H38" s="344"/>
      <c r="I38" s="226"/>
      <c r="J38" s="87"/>
      <c r="K38" s="87"/>
      <c r="L38" s="87"/>
      <c r="M38" s="87"/>
      <c r="N38" s="87"/>
      <c r="O38" s="87"/>
      <c r="P38" s="87"/>
      <c r="Q38" s="87"/>
      <c r="R38" s="87"/>
      <c r="S38" s="87"/>
      <c r="T38" s="87"/>
      <c r="U38" s="87"/>
    </row>
    <row r="39" spans="2:21" s="6" customFormat="1" ht="19.5" customHeight="1" thickBot="1" x14ac:dyDescent="0.5">
      <c r="B39" s="87"/>
      <c r="C39" s="345" t="s">
        <v>48</v>
      </c>
      <c r="D39" s="346"/>
      <c r="E39" s="346"/>
      <c r="F39" s="346"/>
      <c r="G39" s="346"/>
      <c r="H39" s="347"/>
      <c r="I39" s="227"/>
      <c r="J39" s="87"/>
      <c r="K39" s="376" t="s">
        <v>179</v>
      </c>
      <c r="L39" s="365"/>
      <c r="M39" s="365"/>
      <c r="N39" s="365"/>
      <c r="O39" s="365"/>
      <c r="P39" s="365"/>
      <c r="Q39" s="365"/>
      <c r="R39" s="365"/>
      <c r="S39" s="365"/>
      <c r="T39" s="365"/>
      <c r="U39" s="366"/>
    </row>
    <row r="40" spans="2:21" s="6" customFormat="1" ht="19.5" customHeight="1" thickBot="1" x14ac:dyDescent="0.5">
      <c r="B40" s="87"/>
      <c r="C40" s="348" t="str">
        <f>CONCATENATE("CALCULATION OF QUALIFYING/REGIONAL VALUE CONTENT", 'List of FTAs'!A24)</f>
        <v>CALCULATION OF QUALIFYING/REGIONAL VALUE CONTENT (QVC/RVC)</v>
      </c>
      <c r="D40" s="349"/>
      <c r="E40" s="349"/>
      <c r="F40" s="349"/>
      <c r="G40" s="349"/>
      <c r="H40" s="349"/>
      <c r="I40" s="350"/>
      <c r="J40" s="87"/>
      <c r="K40" s="364" t="s">
        <v>178</v>
      </c>
      <c r="L40" s="365"/>
      <c r="M40" s="365"/>
      <c r="N40" s="365"/>
      <c r="O40" s="365"/>
      <c r="P40" s="365"/>
      <c r="Q40" s="365"/>
      <c r="R40" s="365"/>
      <c r="S40" s="365"/>
      <c r="T40" s="365"/>
      <c r="U40" s="366"/>
    </row>
    <row r="41" spans="2:21" s="6" customFormat="1" x14ac:dyDescent="0.45">
      <c r="B41" s="87"/>
      <c r="C41" s="351" t="s">
        <v>232</v>
      </c>
      <c r="D41" s="352"/>
      <c r="E41" s="352"/>
      <c r="F41" s="352"/>
      <c r="G41" s="352"/>
      <c r="H41" s="352"/>
      <c r="I41" s="181"/>
      <c r="J41" s="87"/>
      <c r="K41" s="373" t="s">
        <v>235</v>
      </c>
      <c r="L41" s="374"/>
      <c r="M41" s="374"/>
      <c r="N41" s="374"/>
      <c r="O41" s="374"/>
      <c r="P41" s="374"/>
      <c r="Q41" s="374"/>
      <c r="R41" s="374"/>
      <c r="S41" s="374"/>
      <c r="T41" s="374"/>
      <c r="U41" s="375"/>
    </row>
    <row r="42" spans="2:21" s="6" customFormat="1" x14ac:dyDescent="0.45">
      <c r="B42" s="182"/>
      <c r="C42" s="335" t="e">
        <f xml:space="preserve"> ROUNDDOWN((SUM(I35:I39)/E19),2)</f>
        <v>#DIV/0!</v>
      </c>
      <c r="D42" s="336"/>
      <c r="E42" s="90"/>
      <c r="F42" s="90"/>
      <c r="G42" s="90"/>
      <c r="H42" s="172"/>
      <c r="I42" s="183"/>
      <c r="J42" s="87"/>
      <c r="K42" s="95"/>
      <c r="L42" s="96"/>
      <c r="M42" s="96"/>
      <c r="N42" s="96"/>
      <c r="O42" s="96"/>
      <c r="P42" s="96"/>
      <c r="Q42" s="96"/>
      <c r="R42" s="97"/>
      <c r="S42" s="97"/>
      <c r="T42" s="97"/>
      <c r="U42" s="98"/>
    </row>
    <row r="43" spans="2:21" s="6" customFormat="1" x14ac:dyDescent="0.45">
      <c r="B43" s="87"/>
      <c r="C43" s="359" t="s">
        <v>233</v>
      </c>
      <c r="D43" s="360"/>
      <c r="E43" s="360"/>
      <c r="F43" s="360"/>
      <c r="G43" s="360"/>
      <c r="H43" s="360"/>
      <c r="I43" s="181"/>
      <c r="J43" s="87"/>
      <c r="K43" s="95"/>
      <c r="L43" s="96"/>
      <c r="M43" s="96"/>
      <c r="N43" s="96"/>
      <c r="O43" s="96"/>
      <c r="P43" s="96"/>
      <c r="Q43" s="96"/>
      <c r="R43" s="97"/>
      <c r="S43" s="97"/>
      <c r="T43" s="97"/>
      <c r="U43" s="98"/>
    </row>
    <row r="44" spans="2:21" s="6" customFormat="1" x14ac:dyDescent="0.45">
      <c r="B44" s="182"/>
      <c r="C44" s="335" t="e">
        <f>ROUNDDOWN((E19-H35)/E19,2)</f>
        <v>#DIV/0!</v>
      </c>
      <c r="D44" s="336"/>
      <c r="E44" s="90"/>
      <c r="F44" s="90"/>
      <c r="G44" s="90"/>
      <c r="H44" s="172"/>
      <c r="I44" s="183"/>
      <c r="J44" s="87"/>
      <c r="K44" s="361" t="s">
        <v>234</v>
      </c>
      <c r="L44" s="362"/>
      <c r="M44" s="362"/>
      <c r="N44" s="362"/>
      <c r="O44" s="362"/>
      <c r="P44" s="362"/>
      <c r="Q44" s="362"/>
      <c r="R44" s="362"/>
      <c r="S44" s="362"/>
      <c r="T44" s="362"/>
      <c r="U44" s="363"/>
    </row>
    <row r="45" spans="2:21" s="6" customFormat="1" x14ac:dyDescent="0.45">
      <c r="B45" s="87"/>
      <c r="C45" s="377" t="s">
        <v>46</v>
      </c>
      <c r="D45" s="378"/>
      <c r="E45" s="378"/>
      <c r="F45" s="378"/>
      <c r="G45" s="378"/>
      <c r="H45" s="378"/>
      <c r="I45" s="181"/>
      <c r="J45" s="86"/>
      <c r="K45" s="99"/>
      <c r="L45" s="100"/>
      <c r="M45" s="100"/>
      <c r="N45" s="100"/>
      <c r="O45" s="100"/>
      <c r="P45" s="100"/>
      <c r="Q45" s="100"/>
      <c r="R45" s="97"/>
      <c r="S45" s="97"/>
      <c r="T45" s="97"/>
      <c r="U45" s="98"/>
    </row>
    <row r="46" spans="2:21" ht="19" thickBot="1" x14ac:dyDescent="0.5">
      <c r="B46" s="182"/>
      <c r="C46" s="299" t="e">
        <f>ROUNDDOWN((H35)/E19,2)</f>
        <v>#DIV/0!</v>
      </c>
      <c r="D46" s="300"/>
      <c r="E46" s="184"/>
      <c r="F46" s="184"/>
      <c r="G46" s="184"/>
      <c r="H46" s="185"/>
      <c r="I46" s="186"/>
      <c r="J46" s="173"/>
      <c r="K46" s="101"/>
      <c r="L46" s="100"/>
      <c r="M46" s="100"/>
      <c r="N46" s="100"/>
      <c r="O46" s="100"/>
      <c r="P46" s="100"/>
      <c r="Q46" s="100"/>
      <c r="R46" s="97"/>
      <c r="S46" s="97"/>
      <c r="T46" s="97"/>
      <c r="U46" s="102"/>
    </row>
    <row r="47" spans="2:21" ht="19.5" customHeight="1" x14ac:dyDescent="0.45">
      <c r="B47" s="86"/>
      <c r="C47" s="310" t="s">
        <v>30</v>
      </c>
      <c r="D47" s="311"/>
      <c r="E47" s="311"/>
      <c r="F47" s="311"/>
      <c r="G47" s="311"/>
      <c r="H47" s="311"/>
      <c r="I47" s="312"/>
      <c r="J47" s="81"/>
      <c r="K47" s="361" t="s">
        <v>174</v>
      </c>
      <c r="L47" s="362"/>
      <c r="M47" s="362"/>
      <c r="N47" s="362"/>
      <c r="O47" s="362"/>
      <c r="P47" s="362"/>
      <c r="Q47" s="362"/>
      <c r="R47" s="362"/>
      <c r="S47" s="362"/>
      <c r="T47" s="362"/>
      <c r="U47" s="363"/>
    </row>
    <row r="48" spans="2:21" ht="18.75" customHeight="1" x14ac:dyDescent="0.45">
      <c r="B48" s="86"/>
      <c r="C48" s="313" t="s">
        <v>132</v>
      </c>
      <c r="D48" s="314"/>
      <c r="E48" s="314"/>
      <c r="F48" s="314"/>
      <c r="G48" s="314"/>
      <c r="H48" s="314"/>
      <c r="I48" s="315"/>
      <c r="J48" s="86"/>
      <c r="K48" s="99"/>
      <c r="L48" s="97"/>
      <c r="M48" s="97"/>
      <c r="N48" s="97"/>
      <c r="O48" s="97"/>
      <c r="P48" s="97"/>
      <c r="Q48" s="97"/>
      <c r="R48" s="97"/>
      <c r="S48" s="97"/>
      <c r="T48" s="97"/>
      <c r="U48" s="102"/>
    </row>
    <row r="49" spans="2:21" ht="18.75" customHeight="1" thickBot="1" x14ac:dyDescent="0.4">
      <c r="B49" s="86"/>
      <c r="C49" s="303" t="s">
        <v>176</v>
      </c>
      <c r="D49" s="304"/>
      <c r="E49" s="304"/>
      <c r="F49" s="304"/>
      <c r="G49" s="304"/>
      <c r="H49" s="304"/>
      <c r="I49" s="305"/>
      <c r="J49" s="86"/>
      <c r="K49" s="103"/>
      <c r="L49" s="104"/>
      <c r="M49" s="104"/>
      <c r="N49" s="104"/>
      <c r="O49" s="104"/>
      <c r="P49" s="104"/>
      <c r="Q49" s="104"/>
      <c r="R49" s="104"/>
      <c r="S49" s="104"/>
      <c r="T49" s="104"/>
      <c r="U49" s="105"/>
    </row>
    <row r="50" spans="2:21" ht="15.75" customHeight="1" x14ac:dyDescent="0.35">
      <c r="B50" s="86"/>
      <c r="C50" s="303"/>
      <c r="D50" s="304"/>
      <c r="E50" s="304"/>
      <c r="F50" s="304"/>
      <c r="G50" s="304"/>
      <c r="H50" s="304"/>
      <c r="I50" s="305"/>
      <c r="J50" s="86"/>
      <c r="K50" s="86"/>
      <c r="L50" s="86"/>
      <c r="M50" s="86"/>
      <c r="N50" s="86"/>
      <c r="O50" s="86"/>
      <c r="P50" s="86"/>
      <c r="Q50" s="86"/>
      <c r="R50" s="86"/>
      <c r="S50" s="86"/>
      <c r="T50" s="86"/>
      <c r="U50" s="86"/>
    </row>
    <row r="51" spans="2:21" ht="15.75" customHeight="1" x14ac:dyDescent="0.35">
      <c r="B51" s="86"/>
      <c r="C51" s="303"/>
      <c r="D51" s="304"/>
      <c r="E51" s="304"/>
      <c r="F51" s="304"/>
      <c r="G51" s="304"/>
      <c r="H51" s="304"/>
      <c r="I51" s="305"/>
      <c r="J51" s="86"/>
      <c r="K51" s="86"/>
      <c r="L51" s="86"/>
      <c r="M51" s="86"/>
      <c r="N51" s="86"/>
      <c r="O51" s="86"/>
      <c r="P51" s="86"/>
      <c r="Q51" s="86"/>
      <c r="R51" s="86"/>
      <c r="S51" s="86"/>
      <c r="T51" s="86"/>
      <c r="U51" s="86"/>
    </row>
    <row r="52" spans="2:21" ht="18.75" customHeight="1" x14ac:dyDescent="0.45">
      <c r="B52" s="86"/>
      <c r="C52" s="306" t="s">
        <v>136</v>
      </c>
      <c r="D52" s="307"/>
      <c r="E52" s="307"/>
      <c r="F52" s="307"/>
      <c r="G52" s="307"/>
      <c r="H52" s="307"/>
      <c r="I52" s="308"/>
      <c r="J52" s="86"/>
      <c r="K52" s="90"/>
      <c r="L52" s="90"/>
      <c r="M52" s="90"/>
      <c r="N52" s="90"/>
      <c r="O52" s="90"/>
      <c r="P52" s="90"/>
      <c r="Q52" s="90"/>
      <c r="R52" s="90"/>
      <c r="S52" s="90"/>
      <c r="T52" s="90"/>
      <c r="U52" s="85"/>
    </row>
    <row r="53" spans="2:21" ht="18.75" customHeight="1" x14ac:dyDescent="0.45">
      <c r="B53" s="86"/>
      <c r="C53" s="187" t="s">
        <v>134</v>
      </c>
      <c r="D53" s="309"/>
      <c r="E53" s="309"/>
      <c r="F53" s="188" t="s">
        <v>135</v>
      </c>
      <c r="G53" s="213"/>
      <c r="H53" s="188" t="s">
        <v>137</v>
      </c>
      <c r="I53" s="229"/>
      <c r="J53" s="81"/>
      <c r="K53" s="90"/>
      <c r="L53" s="90"/>
      <c r="M53" s="90"/>
      <c r="N53" s="90"/>
      <c r="O53" s="90"/>
      <c r="P53" s="90"/>
      <c r="Q53" s="90"/>
      <c r="R53" s="90"/>
      <c r="S53" s="90"/>
      <c r="T53" s="90"/>
      <c r="U53" s="85"/>
    </row>
    <row r="54" spans="2:21" ht="18.75" customHeight="1" x14ac:dyDescent="0.35">
      <c r="B54" s="86"/>
      <c r="C54" s="313" t="s">
        <v>133</v>
      </c>
      <c r="D54" s="314"/>
      <c r="E54" s="314"/>
      <c r="F54" s="314"/>
      <c r="G54" s="314"/>
      <c r="H54" s="314"/>
      <c r="I54" s="315"/>
      <c r="J54" s="81"/>
      <c r="K54" s="85"/>
      <c r="L54" s="85"/>
      <c r="M54" s="85"/>
      <c r="N54" s="86"/>
      <c r="O54" s="86"/>
      <c r="P54" s="86"/>
      <c r="Q54" s="86"/>
      <c r="R54" s="86"/>
      <c r="S54" s="86"/>
      <c r="T54" s="86"/>
      <c r="U54" s="86"/>
    </row>
    <row r="55" spans="2:21" ht="18.75" customHeight="1" x14ac:dyDescent="0.35">
      <c r="B55" s="86"/>
      <c r="C55" s="316" t="s">
        <v>175</v>
      </c>
      <c r="D55" s="317"/>
      <c r="E55" s="317"/>
      <c r="F55" s="317"/>
      <c r="G55" s="317"/>
      <c r="H55" s="317"/>
      <c r="I55" s="318"/>
      <c r="J55" s="81"/>
      <c r="K55" s="85"/>
      <c r="L55" s="85"/>
      <c r="M55" s="85"/>
      <c r="N55" s="86"/>
      <c r="O55" s="86"/>
      <c r="P55" s="86"/>
      <c r="Q55" s="86"/>
      <c r="R55" s="86"/>
      <c r="S55" s="86"/>
      <c r="T55" s="86"/>
      <c r="U55" s="86"/>
    </row>
    <row r="56" spans="2:21" ht="18.75" customHeight="1" x14ac:dyDescent="0.35">
      <c r="B56" s="86"/>
      <c r="C56" s="316"/>
      <c r="D56" s="317"/>
      <c r="E56" s="317"/>
      <c r="F56" s="317"/>
      <c r="G56" s="317"/>
      <c r="H56" s="317"/>
      <c r="I56" s="318"/>
      <c r="J56" s="81"/>
      <c r="K56" s="85"/>
      <c r="L56" s="85"/>
      <c r="M56" s="85"/>
      <c r="N56" s="86"/>
      <c r="O56" s="86"/>
      <c r="P56" s="86"/>
      <c r="Q56" s="86"/>
      <c r="R56" s="86"/>
      <c r="S56" s="86"/>
      <c r="T56" s="86"/>
      <c r="U56" s="86"/>
    </row>
    <row r="57" spans="2:21" ht="18.75" customHeight="1" x14ac:dyDescent="0.35">
      <c r="B57" s="86"/>
      <c r="C57" s="306" t="s">
        <v>136</v>
      </c>
      <c r="D57" s="307"/>
      <c r="E57" s="307"/>
      <c r="F57" s="307"/>
      <c r="G57" s="307"/>
      <c r="H57" s="307"/>
      <c r="I57" s="308"/>
      <c r="J57" s="86"/>
      <c r="K57" s="85"/>
      <c r="L57" s="85"/>
      <c r="M57" s="85"/>
      <c r="N57" s="86"/>
      <c r="O57" s="86"/>
      <c r="P57" s="86"/>
      <c r="Q57" s="86"/>
      <c r="R57" s="86"/>
      <c r="S57" s="86"/>
      <c r="T57" s="86"/>
      <c r="U57" s="86"/>
    </row>
    <row r="58" spans="2:21" ht="18.75" customHeight="1" x14ac:dyDescent="0.35">
      <c r="B58" s="86"/>
      <c r="C58" s="189" t="s">
        <v>134</v>
      </c>
      <c r="D58" s="319"/>
      <c r="E58" s="319"/>
      <c r="F58" s="190" t="s">
        <v>135</v>
      </c>
      <c r="G58" s="212"/>
      <c r="H58" s="190" t="s">
        <v>137</v>
      </c>
      <c r="I58" s="230"/>
      <c r="J58" s="86"/>
      <c r="K58" s="85"/>
      <c r="L58" s="85"/>
      <c r="M58" s="85"/>
      <c r="N58" s="86"/>
      <c r="O58" s="86"/>
      <c r="P58" s="86"/>
      <c r="Q58" s="86"/>
      <c r="R58" s="86"/>
      <c r="S58" s="86"/>
      <c r="T58" s="86"/>
      <c r="U58" s="86"/>
    </row>
    <row r="59" spans="2:21" ht="18" customHeight="1" x14ac:dyDescent="0.35">
      <c r="B59" s="86"/>
      <c r="C59" s="313" t="s">
        <v>138</v>
      </c>
      <c r="D59" s="314"/>
      <c r="E59" s="314"/>
      <c r="F59" s="314"/>
      <c r="G59" s="314"/>
      <c r="H59" s="314"/>
      <c r="I59" s="315"/>
      <c r="J59" s="86"/>
      <c r="K59" s="85"/>
      <c r="L59" s="85"/>
      <c r="M59" s="85"/>
      <c r="N59" s="86"/>
      <c r="O59" s="86"/>
      <c r="P59" s="86"/>
      <c r="Q59" s="86"/>
      <c r="R59" s="86"/>
      <c r="S59" s="86"/>
      <c r="T59" s="86"/>
      <c r="U59" s="86"/>
    </row>
    <row r="60" spans="2:21" ht="18.75" customHeight="1" x14ac:dyDescent="0.35">
      <c r="B60" s="86"/>
      <c r="C60" s="303" t="s">
        <v>177</v>
      </c>
      <c r="D60" s="304"/>
      <c r="E60" s="304"/>
      <c r="F60" s="304"/>
      <c r="G60" s="304"/>
      <c r="H60" s="304"/>
      <c r="I60" s="305"/>
      <c r="J60" s="86"/>
      <c r="K60" s="85"/>
      <c r="L60" s="85"/>
      <c r="M60" s="85"/>
      <c r="N60" s="86"/>
      <c r="O60" s="86"/>
      <c r="P60" s="86"/>
      <c r="Q60" s="86"/>
      <c r="R60" s="86"/>
      <c r="S60" s="86"/>
      <c r="T60" s="86"/>
      <c r="U60" s="86"/>
    </row>
    <row r="61" spans="2:21" ht="15.75" customHeight="1" x14ac:dyDescent="0.35">
      <c r="B61" s="86"/>
      <c r="C61" s="303"/>
      <c r="D61" s="304"/>
      <c r="E61" s="304"/>
      <c r="F61" s="304"/>
      <c r="G61" s="304"/>
      <c r="H61" s="304"/>
      <c r="I61" s="305"/>
      <c r="J61" s="86"/>
      <c r="K61" s="85"/>
      <c r="L61" s="85"/>
      <c r="M61" s="85"/>
      <c r="N61" s="86"/>
      <c r="O61" s="86"/>
      <c r="P61" s="86"/>
      <c r="Q61" s="86"/>
      <c r="R61" s="86"/>
      <c r="S61" s="86"/>
      <c r="T61" s="86"/>
      <c r="U61" s="86"/>
    </row>
    <row r="62" spans="2:21" ht="15.75" customHeight="1" x14ac:dyDescent="0.35">
      <c r="B62" s="86"/>
      <c r="C62" s="303"/>
      <c r="D62" s="304"/>
      <c r="E62" s="304"/>
      <c r="F62" s="304"/>
      <c r="G62" s="304"/>
      <c r="H62" s="304"/>
      <c r="I62" s="305"/>
      <c r="J62" s="86"/>
      <c r="K62" s="85"/>
      <c r="L62" s="85"/>
      <c r="M62" s="85"/>
      <c r="N62" s="86"/>
      <c r="O62" s="86"/>
      <c r="P62" s="86"/>
      <c r="Q62" s="86"/>
      <c r="R62" s="86"/>
      <c r="S62" s="86"/>
      <c r="T62" s="86"/>
      <c r="U62" s="86"/>
    </row>
    <row r="63" spans="2:21" ht="18.75" customHeight="1" x14ac:dyDescent="0.35">
      <c r="B63" s="86"/>
      <c r="C63" s="306" t="s">
        <v>136</v>
      </c>
      <c r="D63" s="307"/>
      <c r="E63" s="307"/>
      <c r="F63" s="307"/>
      <c r="G63" s="307"/>
      <c r="H63" s="307"/>
      <c r="I63" s="308"/>
      <c r="J63" s="86"/>
      <c r="K63" s="85"/>
      <c r="L63" s="85"/>
      <c r="M63" s="85"/>
      <c r="N63" s="86"/>
      <c r="O63" s="86"/>
      <c r="P63" s="86"/>
      <c r="Q63" s="86"/>
      <c r="R63" s="86"/>
      <c r="S63" s="86"/>
      <c r="T63" s="86"/>
      <c r="U63" s="86"/>
    </row>
    <row r="64" spans="2:21" ht="18.75" customHeight="1" x14ac:dyDescent="0.35">
      <c r="B64" s="86"/>
      <c r="C64" s="191" t="s">
        <v>134</v>
      </c>
      <c r="D64" s="298"/>
      <c r="E64" s="298"/>
      <c r="F64" s="190" t="s">
        <v>135</v>
      </c>
      <c r="G64" s="212"/>
      <c r="H64" s="190" t="s">
        <v>137</v>
      </c>
      <c r="I64" s="230"/>
      <c r="J64" s="86"/>
      <c r="K64" s="85"/>
      <c r="L64" s="85"/>
      <c r="M64" s="85"/>
      <c r="N64" s="86"/>
      <c r="O64" s="86"/>
      <c r="P64" s="86"/>
      <c r="Q64" s="86"/>
      <c r="R64" s="86"/>
      <c r="S64" s="86"/>
      <c r="T64" s="86"/>
      <c r="U64" s="86"/>
    </row>
    <row r="65" spans="2:21" ht="18.75" customHeight="1" x14ac:dyDescent="0.35">
      <c r="B65" s="86"/>
      <c r="C65" s="301" t="s">
        <v>139</v>
      </c>
      <c r="D65" s="296"/>
      <c r="E65" s="302"/>
      <c r="F65" s="192" t="s">
        <v>210</v>
      </c>
      <c r="G65" s="295" t="s">
        <v>140</v>
      </c>
      <c r="H65" s="296"/>
      <c r="I65" s="297"/>
      <c r="J65" s="86"/>
      <c r="K65" s="85"/>
      <c r="L65" s="85"/>
      <c r="M65" s="85"/>
      <c r="N65" s="86"/>
      <c r="O65" s="86"/>
      <c r="P65" s="86"/>
      <c r="Q65" s="86"/>
      <c r="R65" s="86"/>
      <c r="S65" s="86"/>
      <c r="T65" s="86"/>
      <c r="U65" s="86"/>
    </row>
    <row r="66" spans="2:21" ht="18.75" customHeight="1" thickBot="1" x14ac:dyDescent="0.5">
      <c r="B66" s="86"/>
      <c r="C66" s="292"/>
      <c r="D66" s="293"/>
      <c r="E66" s="294"/>
      <c r="F66" s="194"/>
      <c r="G66" s="320"/>
      <c r="H66" s="321"/>
      <c r="I66" s="322"/>
      <c r="J66" s="86"/>
      <c r="K66" s="85"/>
      <c r="L66" s="85"/>
      <c r="M66" s="85"/>
      <c r="N66" s="86"/>
      <c r="O66" s="86"/>
      <c r="P66" s="86"/>
      <c r="Q66" s="86"/>
      <c r="R66" s="86"/>
      <c r="S66" s="86"/>
      <c r="T66" s="86"/>
      <c r="U66" s="86"/>
    </row>
    <row r="67" spans="2:21" ht="18.75" customHeight="1" x14ac:dyDescent="0.45">
      <c r="B67" s="86"/>
      <c r="C67" s="86"/>
      <c r="D67" s="87"/>
      <c r="E67" s="87"/>
      <c r="F67" s="87"/>
      <c r="G67" s="87"/>
      <c r="H67" s="193"/>
      <c r="I67" s="193"/>
      <c r="J67" s="86"/>
      <c r="K67" s="85"/>
      <c r="L67" s="85"/>
      <c r="M67" s="85"/>
      <c r="N67" s="86"/>
      <c r="O67" s="86"/>
      <c r="P67" s="86"/>
      <c r="Q67" s="86"/>
      <c r="R67" s="86"/>
      <c r="S67" s="86"/>
      <c r="T67" s="86"/>
      <c r="U67" s="86"/>
    </row>
    <row r="68" spans="2:21" ht="18.75" customHeight="1" x14ac:dyDescent="0.45">
      <c r="K68" s="5"/>
      <c r="L68" s="5"/>
      <c r="M68" s="5"/>
    </row>
    <row r="69" spans="2:21" ht="18.75" customHeight="1" x14ac:dyDescent="0.45"/>
    <row r="70" spans="2:21" ht="18.75" customHeight="1" x14ac:dyDescent="0.45"/>
    <row r="71" spans="2:21" ht="15.75" customHeight="1" x14ac:dyDescent="0.45"/>
    <row r="72" spans="2:21" ht="15.75" customHeight="1" x14ac:dyDescent="0.45"/>
    <row r="73" spans="2:21" ht="15.75" customHeight="1" x14ac:dyDescent="0.45"/>
    <row r="74" spans="2:21" ht="18.75" customHeight="1" x14ac:dyDescent="0.45"/>
    <row r="75" spans="2:21" ht="15.75" customHeight="1" x14ac:dyDescent="0.45"/>
    <row r="76" spans="2:21" ht="15.75" customHeight="1" x14ac:dyDescent="0.45"/>
    <row r="77" spans="2:21" ht="15.75" customHeight="1" x14ac:dyDescent="0.45"/>
    <row r="78" spans="2:21" ht="15.75" customHeight="1" x14ac:dyDescent="0.45"/>
  </sheetData>
  <sheetProtection password="BEE3" sheet="1" formatRows="0" insertRows="0" deleteRows="0"/>
  <mergeCells count="79">
    <mergeCell ref="K16:L18"/>
    <mergeCell ref="C2:I2"/>
    <mergeCell ref="C3:D5"/>
    <mergeCell ref="E3:F3"/>
    <mergeCell ref="H3:I3"/>
    <mergeCell ref="E16:I16"/>
    <mergeCell ref="K2:L7"/>
    <mergeCell ref="C13:I13"/>
    <mergeCell ref="C6:I6"/>
    <mergeCell ref="C7:D7"/>
    <mergeCell ref="E7:F7"/>
    <mergeCell ref="H7:I7"/>
    <mergeCell ref="C8:I8"/>
    <mergeCell ref="C9:D9"/>
    <mergeCell ref="E9:I9"/>
    <mergeCell ref="C10:I10"/>
    <mergeCell ref="C19:D19"/>
    <mergeCell ref="C14:I14"/>
    <mergeCell ref="C15:D15"/>
    <mergeCell ref="H17:I17"/>
    <mergeCell ref="E18:F18"/>
    <mergeCell ref="E15:I15"/>
    <mergeCell ref="E17:F17"/>
    <mergeCell ref="E19:F19"/>
    <mergeCell ref="H19:I19"/>
    <mergeCell ref="F4:I4"/>
    <mergeCell ref="C16:D16"/>
    <mergeCell ref="C17:D17"/>
    <mergeCell ref="C18:D18"/>
    <mergeCell ref="H5:I5"/>
    <mergeCell ref="H18:I18"/>
    <mergeCell ref="C11:I11"/>
    <mergeCell ref="C12:I12"/>
    <mergeCell ref="C37:H37"/>
    <mergeCell ref="I22:I24"/>
    <mergeCell ref="C20:I20"/>
    <mergeCell ref="C43:H43"/>
    <mergeCell ref="K47:U47"/>
    <mergeCell ref="K40:U40"/>
    <mergeCell ref="K25:L35"/>
    <mergeCell ref="K44:U44"/>
    <mergeCell ref="K41:U41"/>
    <mergeCell ref="K39:U39"/>
    <mergeCell ref="C45:H45"/>
    <mergeCell ref="H22:H24"/>
    <mergeCell ref="D21:D24"/>
    <mergeCell ref="C21:C24"/>
    <mergeCell ref="C49:I51"/>
    <mergeCell ref="C52:I52"/>
    <mergeCell ref="O21:P23"/>
    <mergeCell ref="K21:L23"/>
    <mergeCell ref="E21:E24"/>
    <mergeCell ref="F21:F24"/>
    <mergeCell ref="G21:G24"/>
    <mergeCell ref="H21:I21"/>
    <mergeCell ref="C44:D44"/>
    <mergeCell ref="C36:H36"/>
    <mergeCell ref="C35:G35"/>
    <mergeCell ref="C38:H38"/>
    <mergeCell ref="C42:D42"/>
    <mergeCell ref="C39:H39"/>
    <mergeCell ref="C40:I40"/>
    <mergeCell ref="C41:H41"/>
    <mergeCell ref="C66:E66"/>
    <mergeCell ref="G65:I65"/>
    <mergeCell ref="D64:E64"/>
    <mergeCell ref="C46:D46"/>
    <mergeCell ref="C65:E65"/>
    <mergeCell ref="C60:I62"/>
    <mergeCell ref="C57:I57"/>
    <mergeCell ref="D53:E53"/>
    <mergeCell ref="C63:I63"/>
    <mergeCell ref="C47:I47"/>
    <mergeCell ref="C59:I59"/>
    <mergeCell ref="C55:I56"/>
    <mergeCell ref="D58:E58"/>
    <mergeCell ref="C54:I54"/>
    <mergeCell ref="C48:I48"/>
    <mergeCell ref="G66:I66"/>
  </mergeCells>
  <dataValidations xWindow="801" yWindow="625" count="16">
    <dataValidation type="decimal" allowBlank="1" showInputMessage="1" showErrorMessage="1" error="Please increase the number of units the Manufacturing Cost Statement is prepared for if the value of your materials are smaller than 2 decimal places._x000a_" sqref="H44 H42 I35 H46 H67:I1048576 I41:I46 H5 H21:I24" xr:uid="{00000000-0002-0000-0200-000000000000}">
      <formula1>0.01</formula1>
      <formula2>9.99999999999999E+43</formula2>
    </dataValidation>
    <dataValidation type="decimal" operator="greaterThanOrEqual" allowBlank="1" showInputMessage="1" showErrorMessage="1" error="Please increase the number of units the Manufacturing Cost Statement is prepared for if the value of your materials are smaller than 3 decimal places._x000a_" prompt="Labour cost directly associated with the manufacturing  of the good. This includes wages, remuneration and other employee benefits. _x000a_" sqref="I36" xr:uid="{00000000-0002-0000-0200-000001000000}">
      <formula1>0.001</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_x000a_" prompt="Gross profit of the good. Cost projection is not allowed" sqref="I38" xr:uid="{00000000-0002-0000-0200-000002000000}">
      <formula1>0.001</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_x000a_" prompt="I.e. Local transport cost _x000a_" sqref="I39" xr:uid="{00000000-0002-0000-0200-000003000000}">
      <formula1>0</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_x000a_" prompt="Overhead cost directly associated with the manufacturing of the good. This includes factory rental, factory secuirty, utilities and equipment. " sqref="I37" xr:uid="{00000000-0002-0000-0200-000004000000}">
      <formula1>0.001</formula1>
    </dataValidation>
    <dataValidation allowBlank="1" showErrorMessage="1" sqref="C14" xr:uid="{00000000-0002-0000-0200-000005000000}"/>
    <dataValidation type="textLength" allowBlank="1" showInputMessage="1" showErrorMessage="1" sqref="E7:F7" xr:uid="{00000000-0002-0000-0200-000006000000}">
      <formula1>0</formula1>
      <formula2>87</formula2>
    </dataValidation>
    <dataValidation type="textLength" operator="lessThanOrEqual" allowBlank="1" showInputMessage="1" showErrorMessage="1" error="Please insert your company's 10 Digit UEN Number" sqref="H7:I7" xr:uid="{00000000-0002-0000-0200-000007000000}">
      <formula1>10</formula1>
    </dataValidation>
    <dataValidation type="textLength" allowBlank="1" showInputMessage="1" showErrorMessage="1" error="Please limit your Description of Good to 50 Characters_x000a_" sqref="E15:I15" xr:uid="{00000000-0002-0000-0200-000008000000}">
      <formula1>0</formula1>
      <formula2>50</formula2>
    </dataValidation>
    <dataValidation type="textLength" allowBlank="1" showInputMessage="1" showErrorMessage="1" error="Please Limit your Model to 30 Characters_x000a_" sqref="E16:I16" xr:uid="{00000000-0002-0000-0200-000009000000}">
      <formula1>0</formula1>
      <formula2>30</formula2>
    </dataValidation>
    <dataValidation type="textLength" operator="equal" allowBlank="1" showInputMessage="1" showErrorMessage="1" error="Please insert the 6 digit HS code of the good_x000a_" sqref="E17" xr:uid="{00000000-0002-0000-0200-00000A000000}">
      <formula1>6</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 sqref="E19:F19" xr:uid="{00000000-0002-0000-0200-00000B000000}">
      <formula1>0.001</formula1>
    </dataValidation>
    <dataValidation type="textLength" operator="equal" allowBlank="1" showInputMessage="1" showErrorMessage="1" sqref="E25:E34" xr:uid="{00000000-0002-0000-0200-00000C000000}">
      <formula1>6</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 prompt="Please provide a confirmation letter and invoice for local originating materials or the relevant Preferential Certificate of Origin under the FTA." sqref="I25:I34" xr:uid="{00000000-0002-0000-0200-00000D000000}">
      <formula1>0.001</formula1>
    </dataValidation>
    <dataValidation type="decimal" operator="greaterThanOrEqual" allowBlank="1" showInputMessage="1" showErrorMessage="1" error="Please increase the number of units the Manufacturing Cost Statement is prepared for if the value of your materials are smaller than 3 decimal places._x000a_" sqref="H25:H34" xr:uid="{00000000-0002-0000-0200-00000E000000}">
      <formula1>0.001</formula1>
    </dataValidation>
    <dataValidation type="decimal" allowBlank="1" showInputMessage="1" showErrorMessage="1" error="Please increase the number of units the Manufacturing Cost Statement is prepared for if the value of your materials are smaller than 2 decimal places._x000a_" sqref="H35" xr:uid="{00000000-0002-0000-0200-00000F000000}">
      <formula1>0.001</formula1>
      <formula2>9.99999999999999E+43</formula2>
    </dataValidation>
  </dataValidations>
  <pageMargins left="0.7" right="0.7" top="0.75" bottom="0.75" header="0.3" footer="0.3"/>
  <pageSetup paperSize="9" scale="54" fitToHeight="0" orientation="portrait" r:id="rId1"/>
  <rowBreaks count="1" manualBreakCount="1">
    <brk id="3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6677" r:id="rId4" name="Check Box 53">
              <controlPr defaultSize="0" autoFill="0" autoLine="0" autoPict="0">
                <anchor moveWithCells="1">
                  <from>
                    <xdr:col>2</xdr:col>
                    <xdr:colOff>95250</xdr:colOff>
                    <xdr:row>10</xdr:row>
                    <xdr:rowOff>171450</xdr:rowOff>
                  </from>
                  <to>
                    <xdr:col>4</xdr:col>
                    <xdr:colOff>628650</xdr:colOff>
                    <xdr:row>12</xdr:row>
                    <xdr:rowOff>31750</xdr:rowOff>
                  </to>
                </anchor>
              </controlPr>
            </control>
          </mc:Choice>
        </mc:AlternateContent>
        <mc:AlternateContent xmlns:mc="http://schemas.openxmlformats.org/markup-compatibility/2006">
          <mc:Choice Requires="x14">
            <control shapeId="26678" r:id="rId5" name="Check Box 54">
              <controlPr defaultSize="0" autoFill="0" autoLine="0" autoPict="0">
                <anchor moveWithCells="1">
                  <from>
                    <xdr:col>2</xdr:col>
                    <xdr:colOff>95250</xdr:colOff>
                    <xdr:row>11</xdr:row>
                    <xdr:rowOff>209550</xdr:rowOff>
                  </from>
                  <to>
                    <xdr:col>4</xdr:col>
                    <xdr:colOff>679450</xdr:colOff>
                    <xdr:row>13</xdr:row>
                    <xdr:rowOff>31750</xdr:rowOff>
                  </to>
                </anchor>
              </controlPr>
            </control>
          </mc:Choice>
        </mc:AlternateContent>
        <mc:AlternateContent xmlns:mc="http://schemas.openxmlformats.org/markup-compatibility/2006">
          <mc:Choice Requires="x14">
            <control shapeId="26679" r:id="rId6" name="Check Box 55">
              <controlPr defaultSize="0" autoFill="0" autoLine="0" autoPict="0">
                <anchor moveWithCells="1">
                  <from>
                    <xdr:col>2</xdr:col>
                    <xdr:colOff>95250</xdr:colOff>
                    <xdr:row>9</xdr:row>
                    <xdr:rowOff>438150</xdr:rowOff>
                  </from>
                  <to>
                    <xdr:col>4</xdr:col>
                    <xdr:colOff>704850</xdr:colOff>
                    <xdr:row>11</xdr:row>
                    <xdr:rowOff>38100</xdr:rowOff>
                  </to>
                </anchor>
              </controlPr>
            </control>
          </mc:Choice>
        </mc:AlternateContent>
        <mc:AlternateContent xmlns:mc="http://schemas.openxmlformats.org/markup-compatibility/2006">
          <mc:Choice Requires="x14">
            <control shapeId="26680" r:id="rId7" name="Label 56">
              <controlPr defaultSize="0" autoFill="0" autoLine="0" autoPict="0">
                <anchor moveWithCells="1" sizeWithCells="1">
                  <from>
                    <xdr:col>6</xdr:col>
                    <xdr:colOff>38100</xdr:colOff>
                    <xdr:row>2</xdr:row>
                    <xdr:rowOff>12700</xdr:rowOff>
                  </from>
                  <to>
                    <xdr:col>6</xdr:col>
                    <xdr:colOff>1333500</xdr:colOff>
                    <xdr:row>2</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8" id="{585BF2DE-3522-456A-82AD-D52A697B8590}">
            <xm:f>#REF! = 'List of FTAs'!$A$19</xm:f>
            <x14:dxf>
              <font>
                <color theme="0"/>
              </font>
              <fill>
                <patternFill>
                  <bgColor theme="0"/>
                </patternFill>
              </fill>
            </x14:dxf>
          </x14:cfRule>
          <xm:sqref>B43:B44</xm:sqref>
        </x14:conditionalFormatting>
        <x14:conditionalFormatting xmlns:xm="http://schemas.microsoft.com/office/excel/2006/main">
          <x14:cfRule type="expression" priority="37" id="{CB889A85-8238-4D17-B12A-BFCB15413937}">
            <xm:f>#REF! ='List of FTAs'!$A$18</xm:f>
            <x14:dxf>
              <font>
                <color theme="0"/>
              </font>
              <fill>
                <patternFill>
                  <bgColor theme="0"/>
                </patternFill>
              </fill>
            </x14:dxf>
          </x14:cfRule>
          <xm:sqref>B41:B44</xm:sqref>
        </x14:conditionalFormatting>
        <x14:conditionalFormatting xmlns:xm="http://schemas.microsoft.com/office/excel/2006/main">
          <x14:cfRule type="expression" priority="35" id="{9537482F-20C0-44F6-83D2-27006B985F24}">
            <xm:f>#REF! = 'List of FTAs'!$A$6</xm:f>
            <x14:dxf>
              <font>
                <color theme="0"/>
              </font>
              <fill>
                <patternFill>
                  <bgColor theme="0"/>
                </patternFill>
              </fill>
            </x14:dxf>
          </x14:cfRule>
          <x14:cfRule type="expression" priority="36" id="{CE2AC053-6C2A-4C09-9313-68BFBB988B6D}">
            <xm:f>#REF! = 'List of FTAs'!$A$4</xm:f>
            <x14:dxf>
              <font>
                <color theme="0"/>
              </font>
              <fill>
                <patternFill>
                  <bgColor theme="0"/>
                </patternFill>
              </fill>
            </x14:dxf>
          </x14:cfRule>
          <xm:sqref>B41:B42 B45:B46</xm:sqref>
        </x14:conditionalFormatting>
        <x14:conditionalFormatting xmlns:xm="http://schemas.microsoft.com/office/excel/2006/main">
          <x14:cfRule type="expression" priority="34" id="{E2D4C4C6-CA58-4244-81BE-FBD9D25782B4}">
            <xm:f>#REF! = 'List of FTAs'!$A$17</xm:f>
            <x14:dxf>
              <font>
                <color theme="0"/>
              </font>
              <fill>
                <patternFill>
                  <bgColor theme="0"/>
                </patternFill>
              </fill>
            </x14:dxf>
          </x14:cfRule>
          <xm:sqref>B41:B42 B45:B46</xm:sqref>
        </x14:conditionalFormatting>
        <x14:conditionalFormatting xmlns:xm="http://schemas.microsoft.com/office/excel/2006/main">
          <x14:cfRule type="expression" priority="33" id="{3CBB6AB1-41F5-47C0-9198-F4102D65B467}">
            <xm:f>#REF! ='List of FTAs'!$A$14</xm:f>
            <x14:dxf>
              <font>
                <color theme="0"/>
              </font>
              <fill>
                <patternFill>
                  <bgColor theme="0"/>
                </patternFill>
              </fill>
            </x14:dxf>
          </x14:cfRule>
          <xm:sqref>B41:B42 B45:B46</xm:sqref>
        </x14:conditionalFormatting>
        <x14:conditionalFormatting xmlns:xm="http://schemas.microsoft.com/office/excel/2006/main">
          <x14:cfRule type="expression" priority="31" id="{158F8FCE-626F-4082-8CA0-E97D53482990}">
            <xm:f>#REF! = 'List of FTAs'!$A$15</xm:f>
            <x14:dxf>
              <font>
                <color theme="0"/>
              </font>
              <fill>
                <patternFill>
                  <bgColor theme="0"/>
                </patternFill>
              </fill>
            </x14:dxf>
          </x14:cfRule>
          <xm:sqref>B41:B42 B45:B46</xm:sqref>
        </x14:conditionalFormatting>
        <x14:conditionalFormatting xmlns:xm="http://schemas.microsoft.com/office/excel/2006/main">
          <x14:cfRule type="expression" priority="10" id="{986115C2-5B1C-442D-97E2-AF2E633B8BDD}">
            <xm:f>$E$9='List of FTAs'!$A$11</xm:f>
            <x14:dxf>
              <font>
                <color theme="0"/>
              </font>
              <fill>
                <patternFill>
                  <bgColor theme="0"/>
                </patternFill>
              </fill>
            </x14:dxf>
          </x14:cfRule>
          <xm:sqref>E46:H46 C45:C46</xm:sqref>
        </x14:conditionalFormatting>
        <x14:conditionalFormatting xmlns:xm="http://schemas.microsoft.com/office/excel/2006/main">
          <x14:cfRule type="expression" priority="8" id="{A338F36D-8C0C-4563-A8EA-55E2D1569CDA}">
            <xm:f>$E$9='List of FTAs'!$A$19</xm:f>
            <x14:dxf>
              <font>
                <color theme="0"/>
              </font>
              <fill>
                <patternFill>
                  <bgColor theme="0"/>
                </patternFill>
              </fill>
            </x14:dxf>
          </x14:cfRule>
          <xm:sqref>C43:H44</xm:sqref>
        </x14:conditionalFormatting>
        <x14:conditionalFormatting xmlns:xm="http://schemas.microsoft.com/office/excel/2006/main">
          <x14:cfRule type="expression" priority="7" id="{5ADF47CE-CE85-4875-A6D7-32A4A0B63593}">
            <xm:f>$E$9='List of FTAs'!$A$18</xm:f>
            <x14:dxf>
              <font>
                <color theme="0"/>
              </font>
              <fill>
                <patternFill>
                  <bgColor theme="0"/>
                </patternFill>
              </fill>
            </x14:dxf>
          </x14:cfRule>
          <xm:sqref>C41:H44</xm:sqref>
        </x14:conditionalFormatting>
        <x14:conditionalFormatting xmlns:xm="http://schemas.microsoft.com/office/excel/2006/main">
          <x14:cfRule type="expression" priority="86" id="{F4DA687E-063A-4E0F-A8AD-10D4DFCAF509}">
            <xm:f>#REF! = 'List of FTAs'!#REF!</xm:f>
            <x14:dxf>
              <font>
                <color theme="0"/>
              </font>
              <fill>
                <patternFill>
                  <bgColor theme="0"/>
                </patternFill>
              </fill>
            </x14:dxf>
          </x14:cfRule>
          <x14:cfRule type="expression" priority="87" id="{8E0B745D-FA08-4725-B337-78ECB0ACE55F}">
            <xm:f>#REF! = 'List of FTAs'!$A$20</xm:f>
            <x14:dxf>
              <font>
                <color theme="0"/>
              </font>
              <fill>
                <patternFill>
                  <bgColor theme="0"/>
                </patternFill>
              </fill>
            </x14:dxf>
          </x14:cfRule>
          <x14:cfRule type="expression" priority="88" id="{0DBB965F-C30C-4A76-9CDB-A9ACAC493EEF}">
            <xm:f>#REF! ='List of FTAs'!$A$7</xm:f>
            <x14:dxf>
              <font>
                <color theme="0"/>
              </font>
              <fill>
                <patternFill>
                  <bgColor theme="0"/>
                </patternFill>
              </fill>
            </x14:dxf>
          </x14:cfRule>
          <x14:cfRule type="expression" priority="89" id="{F96660FE-DCB9-4D38-8CCD-64DAEA7ACDEE}">
            <xm:f>'List of FTAs'!$A$8</xm:f>
            <x14:dxf>
              <font>
                <color theme="0"/>
              </font>
              <fill>
                <patternFill>
                  <bgColor theme="0"/>
                </patternFill>
              </fill>
            </x14:dxf>
          </x14:cfRule>
          <x14:cfRule type="expression" priority="90" id="{AD9039E4-CBF8-4C6D-8BC9-540C6E2AE329}">
            <xm:f>#REF! ='List of FTAs'!$A$5</xm:f>
            <x14:dxf>
              <font>
                <color theme="0"/>
              </font>
              <fill>
                <patternFill>
                  <bgColor theme="0"/>
                </patternFill>
              </fill>
            </x14:dxf>
          </x14:cfRule>
          <x14:cfRule type="expression" priority="91" id="{D7AEE3F3-DB22-4E7C-AF9F-D96980D8D4C6}">
            <xm:f>#REF! = 'List of FTAs'!$A$3</xm:f>
            <x14:dxf>
              <font>
                <color theme="0"/>
              </font>
              <fill>
                <patternFill>
                  <bgColor theme="0"/>
                </patternFill>
              </fill>
            </x14:dxf>
          </x14:cfRule>
          <xm:sqref>B43:B46</xm:sqref>
        </x14:conditionalFormatting>
        <x14:conditionalFormatting xmlns:xm="http://schemas.microsoft.com/office/excel/2006/main">
          <x14:cfRule type="expression" priority="92" id="{79599CE0-7FEE-4BAD-92E5-52D48DE78D08}">
            <xm:f>$E$9='List of FTAs'!$A$14</xm:f>
            <x14:dxf>
              <font>
                <color theme="0"/>
              </font>
              <fill>
                <patternFill>
                  <bgColor theme="0"/>
                </patternFill>
              </fill>
            </x14:dxf>
          </x14:cfRule>
          <x14:cfRule type="expression" priority="93" id="{53AF2637-8288-4E4E-A3D6-3EBECA88A7D4}">
            <xm:f>$E$9='List of FTAs'!$A$17</xm:f>
            <x14:dxf>
              <font>
                <color theme="0"/>
              </font>
              <fill>
                <patternFill>
                  <bgColor theme="0"/>
                </patternFill>
              </fill>
            </x14:dxf>
          </x14:cfRule>
          <x14:cfRule type="expression" priority="94" id="{303A44A9-A59B-4AF7-9832-E0437F162DFA}">
            <xm:f>$E$9='List of FTAs'!$A$15</xm:f>
            <x14:dxf>
              <font>
                <color theme="0"/>
              </font>
              <fill>
                <patternFill>
                  <bgColor theme="0"/>
                </patternFill>
              </fill>
            </x14:dxf>
          </x14:cfRule>
          <x14:cfRule type="expression" priority="95" id="{AA552C9E-2243-49A7-A03E-1E65898B8758}">
            <xm:f>$E$9='List of FTAs'!$A$16</xm:f>
            <x14:dxf>
              <font>
                <color theme="0"/>
              </font>
              <fill>
                <patternFill>
                  <bgColor theme="0"/>
                </patternFill>
              </fill>
            </x14:dxf>
          </x14:cfRule>
          <x14:cfRule type="expression" priority="96" id="{00DD5765-588A-4963-98B6-4C20F5F8C59C}">
            <xm:f>$E$9='List of FTAs'!$A$13</xm:f>
            <x14:dxf>
              <font>
                <color theme="0"/>
              </font>
              <fill>
                <patternFill>
                  <bgColor theme="0"/>
                </patternFill>
              </fill>
            </x14:dxf>
          </x14:cfRule>
          <x14:cfRule type="expression" priority="97" id="{1C7AABC1-A6D2-4859-BABA-672D9B8A493F}">
            <xm:f>$E$9='List of FTAs'!$A$12</xm:f>
            <x14:dxf>
              <font>
                <color theme="0"/>
              </font>
              <fill>
                <patternFill>
                  <bgColor theme="0"/>
                </patternFill>
              </fill>
            </x14:dxf>
          </x14:cfRule>
          <x14:cfRule type="expression" priority="98" id="{BE4C2D68-1B72-4DE3-B52A-5D1052F5E65A}">
            <xm:f>$E$9='List of FTAs'!$A$10</xm:f>
            <x14:dxf>
              <font>
                <color theme="0"/>
              </font>
              <fill>
                <patternFill>
                  <bgColor theme="0"/>
                </patternFill>
              </fill>
            </x14:dxf>
          </x14:cfRule>
          <x14:cfRule type="expression" priority="99" id="{F5520B8F-B89C-471C-B167-2D20577BA0E6}">
            <xm:f>$E$9='List of FTAs'!$A$6</xm:f>
            <x14:dxf>
              <font>
                <color theme="0"/>
              </font>
              <fill>
                <patternFill>
                  <bgColor theme="0"/>
                </patternFill>
              </fill>
            </x14:dxf>
          </x14:cfRule>
          <x14:cfRule type="expression" priority="100" id="{DEB0BFDE-55CD-4499-B61A-827C364E8D47}">
            <xm:f>$E$9='List of FTAs'!$A$4</xm:f>
            <x14:dxf>
              <font>
                <color theme="0"/>
              </font>
              <fill>
                <patternFill>
                  <bgColor theme="0"/>
                </patternFill>
              </fill>
            </x14:dxf>
          </x14:cfRule>
          <xm:sqref>E42:H42 C41:C42 E46:H46 C45:C46</xm:sqref>
        </x14:conditionalFormatting>
        <x14:conditionalFormatting xmlns:xm="http://schemas.microsoft.com/office/excel/2006/main">
          <x14:cfRule type="expression" priority="129" id="{86FD4D7D-02AE-4F30-8F2E-40761CC4A6CB}">
            <xm:f>$E$9='List of FTAs'!$A$3</xm:f>
            <x14:dxf>
              <font>
                <color theme="0"/>
              </font>
              <fill>
                <patternFill>
                  <bgColor theme="0"/>
                </patternFill>
              </fill>
            </x14:dxf>
          </x14:cfRule>
          <x14:cfRule type="expression" priority="130" id="{8EB0CCFF-1267-4FB5-AAC4-0D00C1EE6C7A}">
            <xm:f>$E$9='List of FTAs'!$A$5</xm:f>
            <x14:dxf>
              <font>
                <color theme="0"/>
              </font>
              <fill>
                <patternFill>
                  <bgColor theme="0"/>
                </patternFill>
              </fill>
            </x14:dxf>
          </x14:cfRule>
          <x14:cfRule type="expression" priority="131" id="{493F56F8-F6F2-42B2-AE0F-E6950329FA8B}">
            <xm:f>$E$9='List of FTAs'!$A$8</xm:f>
            <x14:dxf>
              <font>
                <color theme="0"/>
              </font>
              <fill>
                <patternFill>
                  <bgColor theme="0"/>
                </patternFill>
              </fill>
            </x14:dxf>
          </x14:cfRule>
          <x14:cfRule type="expression" priority="132" id="{08C9C863-0314-41E1-B4B8-FEA361C0DFDB}">
            <xm:f>$E$9='List of FTAs'!$A$7</xm:f>
            <x14:dxf>
              <font>
                <color theme="0"/>
              </font>
              <fill>
                <patternFill>
                  <bgColor theme="0"/>
                </patternFill>
              </fill>
            </x14:dxf>
          </x14:cfRule>
          <x14:cfRule type="expression" priority="133" id="{45B487E8-332E-4F72-9EBD-23B61FF3CCAA}">
            <xm:f>$E$9='List of FTAs'!$A$20</xm:f>
            <x14:dxf>
              <font>
                <color theme="0"/>
              </font>
              <fill>
                <patternFill>
                  <bgColor theme="0"/>
                </patternFill>
              </fill>
            </x14:dxf>
          </x14:cfRule>
          <xm:sqref>C43:H46</xm:sqref>
        </x14:conditionalFormatting>
        <x14:conditionalFormatting xmlns:xm="http://schemas.microsoft.com/office/excel/2006/main">
          <x14:cfRule type="expression" priority="1" id="{CCC75B7C-15F7-4023-9DD3-53A7379AA6C2}">
            <xm:f>$E$9='List of FTAs'!$A$9</xm:f>
            <x14:dxf>
              <font>
                <color theme="0"/>
              </font>
              <fill>
                <patternFill>
                  <bgColor theme="0"/>
                </patternFill>
              </fill>
            </x14:dxf>
          </x14:cfRule>
          <xm:sqref>C45:H46</xm:sqref>
        </x14:conditionalFormatting>
      </x14:conditionalFormattings>
    </ext>
    <ext xmlns:x14="http://schemas.microsoft.com/office/spreadsheetml/2009/9/main" uri="{CCE6A557-97BC-4b89-ADB6-D9C93CAAB3DF}">
      <x14:dataValidations xmlns:xm="http://schemas.microsoft.com/office/excel/2006/main" xWindow="801" yWindow="625" count="1">
        <x14:dataValidation type="list" allowBlank="1" showInputMessage="1" error="For FTAs or Schemes that are not found in the dropdown list, it will mean that they are  based on self certification. As such, you need not apply for Certificate of Origin with Singapore Customs. " promptTitle="The Selection will depend on" prompt="a) the destination which the good will be exported to, and _x000a_b) the type of Certificate of Origin which you wish to apply." xr:uid="{00000000-0002-0000-0200-000010000000}">
          <x14:formula1>
            <xm:f>'List of FTAs'!$A$3:$A$20</xm:f>
          </x14:formula1>
          <xm:sqref>E9:I9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5" tint="0.79998168889431442"/>
  </sheetPr>
  <dimension ref="A1:V56"/>
  <sheetViews>
    <sheetView showGridLines="0" zoomScaleNormal="100" workbookViewId="0">
      <selection activeCell="E4" sqref="E4:F4"/>
    </sheetView>
  </sheetViews>
  <sheetFormatPr defaultRowHeight="14.5" x14ac:dyDescent="0.35"/>
  <cols>
    <col min="1" max="1" width="2.54296875" customWidth="1"/>
    <col min="2" max="2" width="40.54296875" bestFit="1" customWidth="1"/>
    <col min="3" max="3" width="20.26953125" customWidth="1"/>
    <col min="4" max="4" width="18.26953125" customWidth="1"/>
    <col min="5" max="5" width="24.26953125" customWidth="1"/>
    <col min="7" max="7" width="4.54296875" customWidth="1"/>
  </cols>
  <sheetData>
    <row r="1" spans="1:22" ht="15" thickBot="1" x14ac:dyDescent="0.4">
      <c r="A1" s="66"/>
      <c r="B1" s="66"/>
      <c r="C1" s="66"/>
      <c r="D1" s="66"/>
      <c r="E1" s="66"/>
      <c r="F1" s="66"/>
      <c r="G1" s="66"/>
      <c r="H1" s="106"/>
      <c r="I1" s="106"/>
      <c r="J1" s="106"/>
      <c r="K1" s="106"/>
      <c r="L1" s="106"/>
      <c r="M1" s="106"/>
      <c r="N1" s="106"/>
      <c r="O1" s="106"/>
      <c r="P1" s="106"/>
      <c r="Q1" s="106"/>
      <c r="R1" s="106"/>
      <c r="S1" s="106"/>
      <c r="T1" s="106"/>
    </row>
    <row r="2" spans="1:22" ht="36.75" customHeight="1" thickBot="1" x14ac:dyDescent="0.5">
      <c r="A2" s="66"/>
      <c r="B2" s="453" t="s">
        <v>241</v>
      </c>
      <c r="C2" s="454"/>
      <c r="D2" s="454"/>
      <c r="E2" s="454"/>
      <c r="F2" s="455"/>
      <c r="G2" s="66"/>
      <c r="H2" s="82"/>
      <c r="I2" s="82"/>
      <c r="J2" s="82"/>
      <c r="K2" s="82"/>
      <c r="L2" s="66"/>
      <c r="M2" s="66"/>
      <c r="N2" s="66"/>
      <c r="O2" s="66"/>
      <c r="P2" s="66"/>
      <c r="Q2" s="66"/>
      <c r="R2" s="66"/>
      <c r="S2" s="66"/>
      <c r="T2" s="66"/>
      <c r="U2" s="66"/>
      <c r="V2" s="66"/>
    </row>
    <row r="3" spans="1:22" ht="20.25" customHeight="1" thickBot="1" x14ac:dyDescent="0.5">
      <c r="A3" s="66"/>
      <c r="B3" s="467" t="s">
        <v>184</v>
      </c>
      <c r="C3" s="468"/>
      <c r="D3" s="469"/>
      <c r="E3" s="469"/>
      <c r="F3" s="470"/>
      <c r="G3" s="66"/>
      <c r="H3" s="82"/>
      <c r="I3" s="82"/>
      <c r="J3" s="82"/>
      <c r="K3" s="82"/>
      <c r="L3" s="66"/>
      <c r="M3" s="66"/>
      <c r="N3" s="66"/>
      <c r="O3" s="66"/>
      <c r="P3" s="66"/>
      <c r="Q3" s="66"/>
      <c r="R3" s="66"/>
      <c r="S3" s="66"/>
      <c r="T3" s="66"/>
      <c r="U3" s="66"/>
      <c r="V3" s="66"/>
    </row>
    <row r="4" spans="1:22" ht="39.75" customHeight="1" x14ac:dyDescent="0.35">
      <c r="A4" s="66"/>
      <c r="B4" s="456" t="s">
        <v>113</v>
      </c>
      <c r="C4" s="457"/>
      <c r="D4" s="458"/>
      <c r="E4" s="459" t="s">
        <v>114</v>
      </c>
      <c r="F4" s="460"/>
      <c r="G4" s="66"/>
      <c r="H4" s="433" t="s">
        <v>185</v>
      </c>
      <c r="I4" s="496"/>
      <c r="J4" s="496"/>
      <c r="K4" s="496"/>
      <c r="L4" s="434"/>
      <c r="M4" s="83"/>
      <c r="N4" s="83"/>
      <c r="O4" s="83"/>
      <c r="P4" s="83"/>
      <c r="Q4" s="83"/>
      <c r="R4" s="83"/>
      <c r="S4" s="83"/>
      <c r="T4" s="66"/>
      <c r="U4" s="66"/>
      <c r="V4" s="66"/>
    </row>
    <row r="5" spans="1:22" ht="15" customHeight="1" x14ac:dyDescent="0.35">
      <c r="A5" s="66"/>
      <c r="B5" s="461" t="s">
        <v>115</v>
      </c>
      <c r="C5" s="462" t="s">
        <v>110</v>
      </c>
      <c r="D5" s="462" t="s">
        <v>239</v>
      </c>
      <c r="E5" s="463" t="s">
        <v>116</v>
      </c>
      <c r="F5" s="464"/>
      <c r="G5" s="66"/>
      <c r="H5" s="435"/>
      <c r="I5" s="497"/>
      <c r="J5" s="497"/>
      <c r="K5" s="497"/>
      <c r="L5" s="436"/>
      <c r="M5" s="83"/>
      <c r="N5" s="83"/>
      <c r="O5" s="83"/>
      <c r="P5" s="83"/>
      <c r="Q5" s="83"/>
      <c r="R5" s="83"/>
      <c r="S5" s="83"/>
      <c r="T5" s="66"/>
      <c r="U5" s="66"/>
      <c r="V5" s="66"/>
    </row>
    <row r="6" spans="1:22" ht="24" customHeight="1" x14ac:dyDescent="0.35">
      <c r="A6" s="66"/>
      <c r="B6" s="461"/>
      <c r="C6" s="462"/>
      <c r="D6" s="462"/>
      <c r="E6" s="463"/>
      <c r="F6" s="464"/>
      <c r="G6" s="66"/>
      <c r="H6" s="435"/>
      <c r="I6" s="497"/>
      <c r="J6" s="497"/>
      <c r="K6" s="497"/>
      <c r="L6" s="436"/>
      <c r="M6" s="83"/>
      <c r="N6" s="83"/>
      <c r="O6" s="83"/>
      <c r="P6" s="83"/>
      <c r="Q6" s="83"/>
      <c r="R6" s="83"/>
      <c r="S6" s="83"/>
      <c r="T6" s="66"/>
      <c r="U6" s="66"/>
      <c r="V6" s="66"/>
    </row>
    <row r="7" spans="1:22" ht="15" customHeight="1" x14ac:dyDescent="0.35">
      <c r="A7" s="66"/>
      <c r="B7" s="461"/>
      <c r="C7" s="462"/>
      <c r="D7" s="462"/>
      <c r="E7" s="465" t="s">
        <v>114</v>
      </c>
      <c r="F7" s="466"/>
      <c r="G7" s="66"/>
      <c r="H7" s="435"/>
      <c r="I7" s="497"/>
      <c r="J7" s="497"/>
      <c r="K7" s="497"/>
      <c r="L7" s="436"/>
      <c r="M7" s="83"/>
      <c r="N7" s="83"/>
      <c r="O7" s="83"/>
      <c r="P7" s="83"/>
      <c r="Q7" s="83"/>
      <c r="R7" s="83"/>
      <c r="S7" s="83"/>
      <c r="T7" s="66"/>
      <c r="U7" s="66"/>
      <c r="V7" s="66"/>
    </row>
    <row r="8" spans="1:22" ht="23.25" customHeight="1" thickBot="1" x14ac:dyDescent="0.4">
      <c r="A8" s="66"/>
      <c r="B8" s="461"/>
      <c r="C8" s="462"/>
      <c r="D8" s="462"/>
      <c r="E8" s="465"/>
      <c r="F8" s="466"/>
      <c r="G8" s="66"/>
      <c r="H8" s="437"/>
      <c r="I8" s="498"/>
      <c r="J8" s="498"/>
      <c r="K8" s="498"/>
      <c r="L8" s="438"/>
      <c r="M8" s="83"/>
      <c r="N8" s="83"/>
      <c r="O8" s="83"/>
      <c r="P8" s="83"/>
      <c r="Q8" s="83"/>
      <c r="R8" s="83"/>
      <c r="S8" s="83"/>
      <c r="T8" s="66"/>
      <c r="U8" s="66"/>
      <c r="V8" s="66"/>
    </row>
    <row r="9" spans="1:22" ht="23.25" customHeight="1" x14ac:dyDescent="0.35">
      <c r="A9" s="66"/>
      <c r="B9" s="196"/>
      <c r="C9" s="197"/>
      <c r="D9" s="197"/>
      <c r="E9" s="510"/>
      <c r="F9" s="511"/>
      <c r="G9" s="66"/>
      <c r="H9" s="84"/>
      <c r="I9" s="84"/>
      <c r="J9" s="84"/>
      <c r="K9" s="84"/>
      <c r="L9" s="83"/>
      <c r="M9" s="83"/>
      <c r="N9" s="83"/>
      <c r="O9" s="83"/>
      <c r="P9" s="83"/>
      <c r="Q9" s="83"/>
      <c r="R9" s="83"/>
      <c r="S9" s="83"/>
      <c r="T9" s="66"/>
      <c r="U9" s="66"/>
      <c r="V9" s="66"/>
    </row>
    <row r="10" spans="1:22" ht="18.5" x14ac:dyDescent="0.45">
      <c r="A10" s="66"/>
      <c r="B10" s="198" t="s">
        <v>117</v>
      </c>
      <c r="C10" s="199"/>
      <c r="D10" s="199" t="s">
        <v>117</v>
      </c>
      <c r="E10" s="489"/>
      <c r="F10" s="490"/>
      <c r="G10" s="66"/>
      <c r="H10" s="83"/>
      <c r="I10" s="83"/>
      <c r="J10" s="83"/>
      <c r="K10" s="83"/>
      <c r="L10" s="83"/>
      <c r="M10" s="83"/>
      <c r="N10" s="83"/>
      <c r="O10" s="83"/>
      <c r="P10" s="83"/>
      <c r="Q10" s="83"/>
      <c r="R10" s="83"/>
      <c r="S10" s="83"/>
      <c r="T10" s="66"/>
      <c r="U10" s="66"/>
      <c r="V10" s="66"/>
    </row>
    <row r="11" spans="1:22" ht="18.5" x14ac:dyDescent="0.45">
      <c r="A11" s="66"/>
      <c r="B11" s="198"/>
      <c r="C11" s="199"/>
      <c r="D11" s="199"/>
      <c r="E11" s="200"/>
      <c r="F11" s="201"/>
      <c r="G11" s="66"/>
      <c r="H11" s="83"/>
      <c r="I11" s="83"/>
      <c r="J11" s="83"/>
      <c r="K11" s="83"/>
      <c r="L11" s="83"/>
      <c r="M11" s="83"/>
      <c r="N11" s="83"/>
      <c r="O11" s="83"/>
      <c r="P11" s="83"/>
      <c r="Q11" s="83"/>
      <c r="R11" s="83"/>
      <c r="S11" s="83"/>
      <c r="T11" s="66"/>
      <c r="U11" s="66"/>
      <c r="V11" s="66"/>
    </row>
    <row r="12" spans="1:22" ht="18.5" x14ac:dyDescent="0.45">
      <c r="A12" s="66"/>
      <c r="B12" s="198"/>
      <c r="C12" s="199"/>
      <c r="D12" s="199"/>
      <c r="E12" s="200"/>
      <c r="F12" s="201"/>
      <c r="G12" s="66"/>
      <c r="H12" s="83"/>
      <c r="I12" s="83"/>
      <c r="J12" s="83"/>
      <c r="K12" s="83"/>
      <c r="L12" s="83"/>
      <c r="M12" s="83"/>
      <c r="N12" s="83"/>
      <c r="O12" s="83"/>
      <c r="P12" s="83"/>
      <c r="Q12" s="83"/>
      <c r="R12" s="83"/>
      <c r="S12" s="83"/>
      <c r="T12" s="66"/>
      <c r="U12" s="66"/>
      <c r="V12" s="66"/>
    </row>
    <row r="13" spans="1:22" ht="18.5" x14ac:dyDescent="0.45">
      <c r="A13" s="66"/>
      <c r="B13" s="198" t="s">
        <v>117</v>
      </c>
      <c r="C13" s="199" t="s">
        <v>117</v>
      </c>
      <c r="D13" s="199" t="s">
        <v>117</v>
      </c>
      <c r="E13" s="489"/>
      <c r="F13" s="490"/>
      <c r="G13" s="66"/>
      <c r="H13" s="83"/>
      <c r="I13" s="83"/>
      <c r="J13" s="83"/>
      <c r="K13" s="83"/>
      <c r="L13" s="83"/>
      <c r="M13" s="83"/>
      <c r="N13" s="83"/>
      <c r="O13" s="83"/>
      <c r="P13" s="83"/>
      <c r="Q13" s="83"/>
      <c r="R13" s="83"/>
      <c r="S13" s="83"/>
      <c r="T13" s="66"/>
      <c r="U13" s="66"/>
      <c r="V13" s="66"/>
    </row>
    <row r="14" spans="1:22" ht="18.5" x14ac:dyDescent="0.45">
      <c r="A14" s="66"/>
      <c r="B14" s="198" t="s">
        <v>117</v>
      </c>
      <c r="C14" s="199" t="s">
        <v>117</v>
      </c>
      <c r="D14" s="199" t="s">
        <v>117</v>
      </c>
      <c r="E14" s="489"/>
      <c r="F14" s="490"/>
      <c r="G14" s="66"/>
      <c r="H14" s="83"/>
      <c r="I14" s="83"/>
      <c r="J14" s="83"/>
      <c r="K14" s="83"/>
      <c r="L14" s="83"/>
      <c r="M14" s="83"/>
      <c r="N14" s="83"/>
      <c r="O14" s="83"/>
      <c r="P14" s="83"/>
      <c r="Q14" s="83"/>
      <c r="R14" s="83"/>
      <c r="S14" s="83"/>
      <c r="T14" s="66"/>
      <c r="U14" s="66"/>
      <c r="V14" s="66"/>
    </row>
    <row r="15" spans="1:22" ht="19" thickBot="1" x14ac:dyDescent="0.5">
      <c r="A15" s="66"/>
      <c r="B15" s="491" t="s">
        <v>4</v>
      </c>
      <c r="C15" s="492"/>
      <c r="D15" s="493"/>
      <c r="E15" s="494">
        <f>SUM(E9:F14)</f>
        <v>0</v>
      </c>
      <c r="F15" s="495"/>
      <c r="G15" s="66"/>
      <c r="H15" s="83"/>
      <c r="I15" s="83"/>
      <c r="J15" s="83"/>
      <c r="K15" s="83"/>
      <c r="L15" s="83"/>
      <c r="M15" s="83"/>
      <c r="N15" s="83"/>
      <c r="O15" s="83"/>
      <c r="P15" s="83"/>
      <c r="Q15" s="83"/>
      <c r="R15" s="83"/>
      <c r="S15" s="83"/>
      <c r="T15" s="66"/>
      <c r="U15" s="66"/>
      <c r="V15" s="66"/>
    </row>
    <row r="16" spans="1:22" ht="19" thickBot="1" x14ac:dyDescent="0.5">
      <c r="A16" s="66"/>
      <c r="B16" s="507"/>
      <c r="C16" s="508"/>
      <c r="D16" s="508"/>
      <c r="E16" s="508"/>
      <c r="F16" s="509"/>
      <c r="G16" s="66"/>
      <c r="H16" s="515" t="s">
        <v>186</v>
      </c>
      <c r="I16" s="365"/>
      <c r="J16" s="365"/>
      <c r="K16" s="365"/>
      <c r="L16" s="365"/>
      <c r="M16" s="365"/>
      <c r="N16" s="365"/>
      <c r="O16" s="365"/>
      <c r="P16" s="365"/>
      <c r="Q16" s="365"/>
      <c r="R16" s="365"/>
      <c r="S16" s="366"/>
      <c r="T16" s="66"/>
      <c r="U16" s="66"/>
      <c r="V16" s="66"/>
    </row>
    <row r="17" spans="1:22" ht="18.75" customHeight="1" thickBot="1" x14ac:dyDescent="0.5">
      <c r="A17" s="66"/>
      <c r="B17" s="504" t="s">
        <v>120</v>
      </c>
      <c r="C17" s="505"/>
      <c r="D17" s="505"/>
      <c r="E17" s="505"/>
      <c r="F17" s="506"/>
      <c r="G17" s="66"/>
      <c r="H17" s="501" t="s">
        <v>51</v>
      </c>
      <c r="I17" s="502"/>
      <c r="J17" s="502"/>
      <c r="K17" s="502"/>
      <c r="L17" s="502"/>
      <c r="M17" s="502"/>
      <c r="N17" s="502"/>
      <c r="O17" s="502"/>
      <c r="P17" s="502"/>
      <c r="Q17" s="502"/>
      <c r="R17" s="502"/>
      <c r="S17" s="503"/>
      <c r="T17" s="66"/>
      <c r="U17" s="66"/>
      <c r="V17" s="66"/>
    </row>
    <row r="18" spans="1:22" ht="18.5" x14ac:dyDescent="0.35">
      <c r="A18" s="66"/>
      <c r="B18" s="67" t="s">
        <v>121</v>
      </c>
      <c r="C18" s="68"/>
      <c r="D18" s="68"/>
      <c r="E18" s="68"/>
      <c r="F18" s="69"/>
      <c r="G18" s="66"/>
      <c r="H18" s="373" t="s">
        <v>121</v>
      </c>
      <c r="I18" s="374"/>
      <c r="J18" s="374"/>
      <c r="K18" s="374"/>
      <c r="L18" s="374"/>
      <c r="M18" s="374"/>
      <c r="N18" s="374"/>
      <c r="O18" s="374"/>
      <c r="P18" s="374"/>
      <c r="Q18" s="374"/>
      <c r="R18" s="374"/>
      <c r="S18" s="375"/>
      <c r="T18" s="66"/>
      <c r="U18" s="66"/>
      <c r="V18" s="66"/>
    </row>
    <row r="19" spans="1:22" ht="18.5" x14ac:dyDescent="0.45">
      <c r="A19" s="66" t="s">
        <v>122</v>
      </c>
      <c r="B19" s="55" t="e">
        <f>E15/'Manufacturing Cost Statement'!E19</f>
        <v>#DIV/0!</v>
      </c>
      <c r="C19" s="70"/>
      <c r="D19" s="70"/>
      <c r="E19" s="70"/>
      <c r="F19" s="71"/>
      <c r="G19" s="66"/>
      <c r="H19" s="512"/>
      <c r="I19" s="513"/>
      <c r="J19" s="513"/>
      <c r="K19" s="513"/>
      <c r="L19" s="513"/>
      <c r="M19" s="513"/>
      <c r="N19" s="513"/>
      <c r="O19" s="513"/>
      <c r="P19" s="513"/>
      <c r="Q19" s="513"/>
      <c r="R19" s="513"/>
      <c r="S19" s="514"/>
      <c r="T19" s="66"/>
      <c r="U19" s="66"/>
      <c r="V19" s="66"/>
    </row>
    <row r="20" spans="1:22" ht="15" customHeight="1" x14ac:dyDescent="0.35">
      <c r="A20" s="66"/>
      <c r="B20" s="72"/>
      <c r="C20" s="70"/>
      <c r="D20" s="70"/>
      <c r="E20" s="70"/>
      <c r="F20" s="71"/>
      <c r="G20" s="66"/>
      <c r="H20" s="512"/>
      <c r="I20" s="513"/>
      <c r="J20" s="513"/>
      <c r="K20" s="513"/>
      <c r="L20" s="513"/>
      <c r="M20" s="513"/>
      <c r="N20" s="513"/>
      <c r="O20" s="513"/>
      <c r="P20" s="513"/>
      <c r="Q20" s="513"/>
      <c r="R20" s="513"/>
      <c r="S20" s="514"/>
      <c r="T20" s="66"/>
      <c r="U20" s="66"/>
      <c r="V20" s="66"/>
    </row>
    <row r="21" spans="1:22" ht="18.5" x14ac:dyDescent="0.45">
      <c r="A21" s="66"/>
      <c r="B21" s="67" t="s">
        <v>123</v>
      </c>
      <c r="C21" s="68"/>
      <c r="D21" s="68"/>
      <c r="E21" s="68"/>
      <c r="F21" s="69"/>
      <c r="G21" s="66"/>
      <c r="H21" s="361" t="s">
        <v>123</v>
      </c>
      <c r="I21" s="362"/>
      <c r="J21" s="362"/>
      <c r="K21" s="362"/>
      <c r="L21" s="362"/>
      <c r="M21" s="362"/>
      <c r="N21" s="362"/>
      <c r="O21" s="362"/>
      <c r="P21" s="362"/>
      <c r="Q21" s="362"/>
      <c r="R21" s="362"/>
      <c r="S21" s="363"/>
      <c r="T21" s="66"/>
      <c r="U21" s="66"/>
      <c r="V21" s="66"/>
    </row>
    <row r="22" spans="1:22" ht="18.5" x14ac:dyDescent="0.45">
      <c r="A22" s="66" t="s">
        <v>122</v>
      </c>
      <c r="B22" s="56" t="e">
        <f>E15/C3</f>
        <v>#DIV/0!</v>
      </c>
      <c r="C22" s="70"/>
      <c r="D22" s="70"/>
      <c r="E22" s="70"/>
      <c r="F22" s="71"/>
      <c r="G22" s="66"/>
      <c r="H22" s="326"/>
      <c r="I22" s="499"/>
      <c r="J22" s="499"/>
      <c r="K22" s="499"/>
      <c r="L22" s="499"/>
      <c r="M22" s="499"/>
      <c r="N22" s="499"/>
      <c r="O22" s="499"/>
      <c r="P22" s="499"/>
      <c r="Q22" s="499"/>
      <c r="R22" s="499"/>
      <c r="S22" s="327"/>
      <c r="T22" s="66"/>
      <c r="U22" s="66"/>
      <c r="V22" s="66"/>
    </row>
    <row r="23" spans="1:22" ht="15" customHeight="1" x14ac:dyDescent="0.35">
      <c r="A23" s="66"/>
      <c r="B23" s="72"/>
      <c r="C23" s="70"/>
      <c r="D23" s="70"/>
      <c r="E23" s="70"/>
      <c r="F23" s="71"/>
      <c r="G23" s="66"/>
      <c r="H23" s="326"/>
      <c r="I23" s="499"/>
      <c r="J23" s="499"/>
      <c r="K23" s="499"/>
      <c r="L23" s="499"/>
      <c r="M23" s="499"/>
      <c r="N23" s="499"/>
      <c r="O23" s="499"/>
      <c r="P23" s="499"/>
      <c r="Q23" s="499"/>
      <c r="R23" s="499"/>
      <c r="S23" s="327"/>
      <c r="T23" s="66"/>
      <c r="U23" s="66"/>
      <c r="V23" s="66"/>
    </row>
    <row r="24" spans="1:22" ht="18.5" x14ac:dyDescent="0.45">
      <c r="A24" s="66"/>
      <c r="B24" s="73" t="s">
        <v>124</v>
      </c>
      <c r="C24" s="74"/>
      <c r="D24" s="74"/>
      <c r="E24" s="74"/>
      <c r="F24" s="75"/>
      <c r="G24" s="66"/>
      <c r="H24" s="361" t="s">
        <v>124</v>
      </c>
      <c r="I24" s="362"/>
      <c r="J24" s="362"/>
      <c r="K24" s="362"/>
      <c r="L24" s="362"/>
      <c r="M24" s="362"/>
      <c r="N24" s="362"/>
      <c r="O24" s="362"/>
      <c r="P24" s="362"/>
      <c r="Q24" s="362"/>
      <c r="R24" s="362"/>
      <c r="S24" s="363"/>
      <c r="T24" s="66"/>
      <c r="U24" s="66"/>
      <c r="V24" s="66"/>
    </row>
    <row r="25" spans="1:22" ht="18.5" x14ac:dyDescent="0.45">
      <c r="A25" s="66" t="s">
        <v>122</v>
      </c>
      <c r="B25" s="76"/>
      <c r="C25" s="70"/>
      <c r="D25" s="70"/>
      <c r="E25" s="70"/>
      <c r="F25" s="71"/>
      <c r="G25" s="66"/>
      <c r="H25" s="326"/>
      <c r="I25" s="499"/>
      <c r="J25" s="499"/>
      <c r="K25" s="499"/>
      <c r="L25" s="499"/>
      <c r="M25" s="499"/>
      <c r="N25" s="499"/>
      <c r="O25" s="499"/>
      <c r="P25" s="499"/>
      <c r="Q25" s="499"/>
      <c r="R25" s="499"/>
      <c r="S25" s="327"/>
      <c r="T25" s="66"/>
      <c r="U25" s="66"/>
      <c r="V25" s="66"/>
    </row>
    <row r="26" spans="1:22" ht="15.75" customHeight="1" thickBot="1" x14ac:dyDescent="0.4">
      <c r="A26" s="66"/>
      <c r="B26" s="72"/>
      <c r="C26" s="77"/>
      <c r="D26" s="77"/>
      <c r="E26" s="77"/>
      <c r="F26" s="78"/>
      <c r="G26" s="66"/>
      <c r="H26" s="328"/>
      <c r="I26" s="500"/>
      <c r="J26" s="500"/>
      <c r="K26" s="500"/>
      <c r="L26" s="500"/>
      <c r="M26" s="500"/>
      <c r="N26" s="500"/>
      <c r="O26" s="500"/>
      <c r="P26" s="500"/>
      <c r="Q26" s="500"/>
      <c r="R26" s="500"/>
      <c r="S26" s="329"/>
      <c r="T26" s="66"/>
      <c r="U26" s="66"/>
      <c r="V26" s="66"/>
    </row>
    <row r="27" spans="1:22" ht="19" thickBot="1" x14ac:dyDescent="0.4">
      <c r="A27" s="66"/>
      <c r="B27" s="471" t="s">
        <v>125</v>
      </c>
      <c r="C27" s="472"/>
      <c r="D27" s="472"/>
      <c r="E27" s="472"/>
      <c r="F27" s="473"/>
      <c r="G27" s="79"/>
      <c r="H27" s="66"/>
      <c r="I27" s="66"/>
      <c r="J27" s="66"/>
      <c r="K27" s="66"/>
      <c r="L27" s="66"/>
      <c r="M27" s="66"/>
      <c r="N27" s="66"/>
      <c r="O27" s="66"/>
      <c r="P27" s="66"/>
      <c r="Q27" s="66"/>
      <c r="R27" s="66"/>
      <c r="S27" s="66"/>
      <c r="T27" s="66"/>
      <c r="U27" s="66"/>
      <c r="V27" s="66"/>
    </row>
    <row r="28" spans="1:22" ht="15" customHeight="1" x14ac:dyDescent="0.35">
      <c r="A28" s="66"/>
      <c r="B28" s="474" t="s">
        <v>126</v>
      </c>
      <c r="C28" s="475"/>
      <c r="D28" s="475"/>
      <c r="E28" s="475"/>
      <c r="F28" s="476"/>
      <c r="G28" s="80"/>
      <c r="H28" s="66"/>
      <c r="I28" s="66"/>
      <c r="J28" s="66"/>
      <c r="K28" s="66"/>
      <c r="L28" s="66"/>
      <c r="M28" s="66"/>
      <c r="N28" s="66"/>
      <c r="O28" s="66"/>
      <c r="P28" s="66"/>
      <c r="Q28" s="66"/>
      <c r="R28" s="66"/>
      <c r="S28" s="66"/>
      <c r="T28" s="66"/>
      <c r="U28" s="66"/>
      <c r="V28" s="66"/>
    </row>
    <row r="29" spans="1:22" ht="25.5" customHeight="1" thickBot="1" x14ac:dyDescent="0.4">
      <c r="A29" s="66"/>
      <c r="B29" s="477"/>
      <c r="C29" s="478"/>
      <c r="D29" s="478"/>
      <c r="E29" s="478"/>
      <c r="F29" s="479"/>
      <c r="G29" s="80"/>
      <c r="H29" s="66"/>
      <c r="I29" s="66"/>
      <c r="J29" s="66"/>
      <c r="K29" s="66"/>
      <c r="L29" s="66"/>
      <c r="M29" s="66"/>
      <c r="N29" s="66"/>
      <c r="O29" s="66"/>
      <c r="P29" s="66"/>
      <c r="Q29" s="66"/>
      <c r="R29" s="66"/>
      <c r="S29" s="66"/>
      <c r="T29" s="66"/>
      <c r="U29" s="66"/>
      <c r="V29" s="66"/>
    </row>
    <row r="30" spans="1:22" ht="15" customHeight="1" x14ac:dyDescent="0.35">
      <c r="A30" s="66"/>
      <c r="B30" s="480"/>
      <c r="C30" s="481"/>
      <c r="D30" s="481"/>
      <c r="E30" s="481"/>
      <c r="F30" s="482"/>
      <c r="G30" s="81"/>
      <c r="H30" s="66"/>
      <c r="I30" s="66"/>
      <c r="J30" s="66"/>
      <c r="K30" s="66"/>
      <c r="L30" s="66"/>
      <c r="M30" s="66"/>
      <c r="N30" s="66"/>
      <c r="O30" s="66"/>
      <c r="P30" s="66"/>
      <c r="Q30" s="66"/>
      <c r="R30" s="66"/>
      <c r="S30" s="66"/>
      <c r="T30" s="66"/>
      <c r="U30" s="66"/>
      <c r="V30" s="66"/>
    </row>
    <row r="31" spans="1:22" ht="15" customHeight="1" x14ac:dyDescent="0.35">
      <c r="A31" s="66"/>
      <c r="B31" s="483"/>
      <c r="C31" s="484"/>
      <c r="D31" s="484"/>
      <c r="E31" s="484"/>
      <c r="F31" s="485"/>
      <c r="G31" s="81"/>
      <c r="H31" s="66"/>
      <c r="I31" s="66"/>
      <c r="J31" s="66"/>
      <c r="K31" s="66"/>
      <c r="L31" s="66"/>
      <c r="M31" s="66"/>
      <c r="N31" s="66"/>
      <c r="O31" s="66"/>
      <c r="P31" s="66"/>
      <c r="Q31" s="66"/>
      <c r="R31" s="66"/>
      <c r="S31" s="66"/>
      <c r="T31" s="66"/>
      <c r="U31" s="66"/>
      <c r="V31" s="66"/>
    </row>
    <row r="32" spans="1:22" ht="15" customHeight="1" x14ac:dyDescent="0.35">
      <c r="A32" s="66"/>
      <c r="B32" s="483"/>
      <c r="C32" s="484"/>
      <c r="D32" s="484"/>
      <c r="E32" s="484"/>
      <c r="F32" s="485"/>
      <c r="G32" s="81"/>
      <c r="H32" s="66"/>
      <c r="I32" s="66"/>
      <c r="J32" s="66"/>
      <c r="K32" s="66"/>
      <c r="L32" s="66"/>
      <c r="M32" s="66"/>
      <c r="N32" s="66"/>
      <c r="O32" s="66"/>
      <c r="P32" s="66"/>
      <c r="Q32" s="66"/>
      <c r="R32" s="66"/>
      <c r="S32" s="66"/>
      <c r="T32" s="66"/>
      <c r="U32" s="66"/>
      <c r="V32" s="66"/>
    </row>
    <row r="33" spans="1:22" ht="15" customHeight="1" x14ac:dyDescent="0.35">
      <c r="A33" s="66"/>
      <c r="B33" s="483"/>
      <c r="C33" s="484"/>
      <c r="D33" s="484"/>
      <c r="E33" s="484"/>
      <c r="F33" s="485"/>
      <c r="G33" s="81"/>
      <c r="H33" s="66"/>
      <c r="I33" s="66"/>
      <c r="J33" s="66"/>
      <c r="K33" s="66"/>
      <c r="L33" s="66"/>
      <c r="M33" s="66"/>
      <c r="N33" s="66"/>
      <c r="O33" s="66"/>
      <c r="P33" s="66"/>
      <c r="Q33" s="66"/>
      <c r="R33" s="66"/>
      <c r="S33" s="66"/>
      <c r="T33" s="66"/>
      <c r="U33" s="66"/>
      <c r="V33" s="66"/>
    </row>
    <row r="34" spans="1:22" ht="15" customHeight="1" x14ac:dyDescent="0.35">
      <c r="A34" s="66"/>
      <c r="B34" s="483"/>
      <c r="C34" s="484"/>
      <c r="D34" s="484"/>
      <c r="E34" s="484"/>
      <c r="F34" s="485"/>
      <c r="G34" s="81"/>
      <c r="H34" s="66"/>
      <c r="I34" s="66"/>
      <c r="J34" s="66"/>
      <c r="K34" s="66"/>
      <c r="L34" s="66"/>
      <c r="M34" s="66"/>
      <c r="N34" s="66"/>
      <c r="O34" s="66"/>
      <c r="P34" s="66"/>
      <c r="Q34" s="66"/>
      <c r="R34" s="66"/>
      <c r="S34" s="66"/>
      <c r="T34" s="66"/>
      <c r="U34" s="66"/>
      <c r="V34" s="66"/>
    </row>
    <row r="35" spans="1:22" ht="15" customHeight="1" x14ac:dyDescent="0.35">
      <c r="A35" s="66"/>
      <c r="B35" s="483"/>
      <c r="C35" s="484"/>
      <c r="D35" s="484"/>
      <c r="E35" s="484"/>
      <c r="F35" s="485"/>
      <c r="G35" s="81"/>
      <c r="H35" s="66"/>
      <c r="I35" s="66"/>
      <c r="J35" s="66"/>
      <c r="K35" s="66"/>
      <c r="L35" s="66"/>
      <c r="M35" s="66"/>
      <c r="N35" s="66"/>
      <c r="O35" s="66"/>
      <c r="P35" s="66"/>
      <c r="Q35" s="66"/>
      <c r="R35" s="66"/>
      <c r="S35" s="66"/>
      <c r="T35" s="66"/>
      <c r="U35" s="66"/>
      <c r="V35" s="66"/>
    </row>
    <row r="36" spans="1:22" ht="15" customHeight="1" x14ac:dyDescent="0.35">
      <c r="A36" s="66"/>
      <c r="B36" s="483"/>
      <c r="C36" s="484"/>
      <c r="D36" s="484"/>
      <c r="E36" s="484"/>
      <c r="F36" s="485"/>
      <c r="G36" s="81"/>
      <c r="H36" s="66"/>
      <c r="I36" s="66"/>
      <c r="J36" s="66"/>
      <c r="K36" s="66"/>
      <c r="L36" s="66"/>
      <c r="M36" s="66"/>
      <c r="N36" s="66"/>
      <c r="O36" s="66"/>
      <c r="P36" s="66"/>
      <c r="Q36" s="66"/>
      <c r="R36" s="66"/>
      <c r="S36" s="66"/>
      <c r="T36" s="66"/>
      <c r="U36" s="66"/>
      <c r="V36" s="66"/>
    </row>
    <row r="37" spans="1:22" ht="15" customHeight="1" x14ac:dyDescent="0.35">
      <c r="A37" s="66"/>
      <c r="B37" s="483"/>
      <c r="C37" s="484"/>
      <c r="D37" s="484"/>
      <c r="E37" s="484"/>
      <c r="F37" s="485"/>
      <c r="G37" s="81"/>
      <c r="H37" s="66"/>
      <c r="I37" s="66"/>
      <c r="J37" s="66"/>
      <c r="K37" s="66"/>
      <c r="L37" s="66"/>
      <c r="M37" s="66"/>
      <c r="N37" s="66"/>
      <c r="O37" s="66"/>
      <c r="P37" s="66"/>
      <c r="Q37" s="66"/>
      <c r="R37" s="66"/>
      <c r="S37" s="66"/>
      <c r="T37" s="66"/>
      <c r="U37" s="66"/>
      <c r="V37" s="66"/>
    </row>
    <row r="38" spans="1:22" ht="15" customHeight="1" x14ac:dyDescent="0.35">
      <c r="A38" s="66"/>
      <c r="B38" s="483"/>
      <c r="C38" s="484"/>
      <c r="D38" s="484"/>
      <c r="E38" s="484"/>
      <c r="F38" s="485"/>
      <c r="G38" s="81"/>
      <c r="H38" s="66"/>
      <c r="I38" s="66"/>
      <c r="J38" s="66"/>
      <c r="K38" s="66"/>
      <c r="L38" s="66"/>
      <c r="M38" s="66"/>
      <c r="N38" s="66"/>
      <c r="O38" s="66"/>
      <c r="P38" s="66"/>
      <c r="Q38" s="66"/>
      <c r="R38" s="66"/>
      <c r="S38" s="66"/>
      <c r="T38" s="66"/>
      <c r="U38" s="66"/>
      <c r="V38" s="66"/>
    </row>
    <row r="39" spans="1:22" ht="15" customHeight="1" x14ac:dyDescent="0.35">
      <c r="A39" s="66"/>
      <c r="B39" s="483"/>
      <c r="C39" s="484"/>
      <c r="D39" s="484"/>
      <c r="E39" s="484"/>
      <c r="F39" s="485"/>
      <c r="G39" s="81"/>
      <c r="H39" s="66"/>
      <c r="I39" s="66"/>
      <c r="J39" s="66"/>
      <c r="K39" s="66"/>
      <c r="L39" s="66"/>
      <c r="M39" s="66"/>
      <c r="N39" s="66"/>
      <c r="O39" s="66"/>
      <c r="P39" s="66"/>
      <c r="Q39" s="66"/>
      <c r="R39" s="66"/>
      <c r="S39" s="66"/>
      <c r="T39" s="66"/>
      <c r="U39" s="66"/>
      <c r="V39" s="66"/>
    </row>
    <row r="40" spans="1:22" ht="15" customHeight="1" x14ac:dyDescent="0.35">
      <c r="A40" s="66"/>
      <c r="B40" s="483"/>
      <c r="C40" s="484"/>
      <c r="D40" s="484"/>
      <c r="E40" s="484"/>
      <c r="F40" s="485"/>
      <c r="G40" s="81"/>
      <c r="H40" s="66"/>
      <c r="I40" s="66"/>
      <c r="J40" s="66"/>
      <c r="K40" s="66"/>
      <c r="L40" s="66"/>
      <c r="M40" s="66"/>
      <c r="N40" s="66"/>
      <c r="O40" s="66"/>
      <c r="P40" s="66"/>
      <c r="Q40" s="66"/>
      <c r="R40" s="66"/>
      <c r="S40" s="66"/>
      <c r="T40" s="66"/>
      <c r="U40" s="66"/>
      <c r="V40" s="66"/>
    </row>
    <row r="41" spans="1:22" ht="15" customHeight="1" x14ac:dyDescent="0.35">
      <c r="A41" s="66"/>
      <c r="B41" s="483"/>
      <c r="C41" s="484"/>
      <c r="D41" s="484"/>
      <c r="E41" s="484"/>
      <c r="F41" s="485"/>
      <c r="G41" s="81"/>
      <c r="H41" s="66"/>
      <c r="I41" s="66"/>
      <c r="J41" s="66"/>
      <c r="K41" s="66"/>
      <c r="L41" s="66"/>
      <c r="M41" s="66"/>
      <c r="N41" s="66"/>
      <c r="O41" s="66"/>
      <c r="P41" s="66"/>
      <c r="Q41" s="66"/>
      <c r="R41" s="66"/>
      <c r="S41" s="66"/>
      <c r="T41" s="66"/>
      <c r="U41" s="66"/>
      <c r="V41" s="66"/>
    </row>
    <row r="42" spans="1:22" ht="15" customHeight="1" x14ac:dyDescent="0.35">
      <c r="A42" s="66"/>
      <c r="B42" s="483"/>
      <c r="C42" s="484"/>
      <c r="D42" s="484"/>
      <c r="E42" s="484"/>
      <c r="F42" s="485"/>
      <c r="G42" s="81"/>
      <c r="H42" s="66"/>
      <c r="I42" s="66"/>
      <c r="J42" s="66"/>
      <c r="K42" s="66"/>
      <c r="L42" s="66"/>
      <c r="M42" s="66"/>
      <c r="N42" s="66"/>
      <c r="O42" s="66"/>
      <c r="P42" s="66"/>
      <c r="Q42" s="66"/>
      <c r="R42" s="66"/>
      <c r="S42" s="66"/>
      <c r="T42" s="66"/>
      <c r="U42" s="66"/>
      <c r="V42" s="66"/>
    </row>
    <row r="43" spans="1:22" ht="15" customHeight="1" x14ac:dyDescent="0.35">
      <c r="A43" s="66"/>
      <c r="B43" s="483"/>
      <c r="C43" s="484"/>
      <c r="D43" s="484"/>
      <c r="E43" s="484"/>
      <c r="F43" s="485"/>
      <c r="G43" s="81"/>
      <c r="H43" s="66"/>
      <c r="I43" s="66"/>
      <c r="J43" s="66"/>
      <c r="K43" s="66"/>
      <c r="L43" s="66"/>
      <c r="M43" s="66"/>
      <c r="N43" s="66"/>
      <c r="O43" s="66"/>
      <c r="P43" s="66"/>
      <c r="Q43" s="66"/>
      <c r="R43" s="66"/>
      <c r="S43" s="66"/>
      <c r="T43" s="66"/>
      <c r="U43" s="66"/>
      <c r="V43" s="66"/>
    </row>
    <row r="44" spans="1:22" ht="15" customHeight="1" x14ac:dyDescent="0.35">
      <c r="A44" s="66"/>
      <c r="B44" s="483"/>
      <c r="C44" s="484"/>
      <c r="D44" s="484"/>
      <c r="E44" s="484"/>
      <c r="F44" s="485"/>
      <c r="G44" s="81"/>
      <c r="H44" s="66"/>
      <c r="I44" s="66"/>
      <c r="J44" s="66"/>
      <c r="K44" s="66"/>
      <c r="L44" s="66"/>
      <c r="M44" s="66"/>
      <c r="N44" s="66"/>
      <c r="O44" s="66"/>
      <c r="P44" s="66"/>
      <c r="Q44" s="66"/>
      <c r="R44" s="66"/>
      <c r="S44" s="66"/>
      <c r="T44" s="66"/>
      <c r="U44" s="66"/>
      <c r="V44" s="66"/>
    </row>
    <row r="45" spans="1:22" ht="15" customHeight="1" x14ac:dyDescent="0.35">
      <c r="A45" s="66"/>
      <c r="B45" s="483"/>
      <c r="C45" s="484"/>
      <c r="D45" s="484"/>
      <c r="E45" s="484"/>
      <c r="F45" s="485"/>
      <c r="G45" s="81"/>
      <c r="H45" s="66"/>
      <c r="I45" s="66"/>
      <c r="J45" s="66"/>
      <c r="K45" s="66"/>
      <c r="L45" s="66"/>
      <c r="M45" s="66"/>
      <c r="N45" s="66"/>
      <c r="O45" s="66"/>
      <c r="P45" s="66"/>
      <c r="Q45" s="66"/>
      <c r="R45" s="66"/>
      <c r="S45" s="66"/>
      <c r="T45" s="66"/>
      <c r="U45" s="66"/>
      <c r="V45" s="66"/>
    </row>
    <row r="46" spans="1:22" ht="15.75" customHeight="1" thickBot="1" x14ac:dyDescent="0.4">
      <c r="A46" s="66"/>
      <c r="B46" s="486"/>
      <c r="C46" s="487"/>
      <c r="D46" s="487"/>
      <c r="E46" s="487"/>
      <c r="F46" s="488"/>
      <c r="G46" s="81"/>
      <c r="H46" s="66"/>
      <c r="I46" s="66"/>
      <c r="J46" s="66"/>
      <c r="K46" s="66"/>
      <c r="L46" s="66"/>
      <c r="M46" s="66"/>
      <c r="N46" s="66"/>
      <c r="O46" s="66"/>
      <c r="P46" s="66"/>
      <c r="Q46" s="66"/>
      <c r="R46" s="66"/>
      <c r="S46" s="66"/>
      <c r="T46" s="66"/>
      <c r="U46" s="66"/>
      <c r="V46" s="66"/>
    </row>
    <row r="47" spans="1:22" x14ac:dyDescent="0.35">
      <c r="A47" s="66"/>
      <c r="B47" s="66"/>
      <c r="C47" s="66"/>
      <c r="D47" s="66"/>
      <c r="E47" s="66"/>
      <c r="F47" s="66"/>
      <c r="G47" s="66"/>
      <c r="H47" s="106"/>
      <c r="I47" s="106"/>
      <c r="J47" s="106"/>
      <c r="K47" s="106"/>
      <c r="L47" s="106"/>
      <c r="M47" s="106"/>
      <c r="N47" s="106"/>
      <c r="O47" s="106"/>
      <c r="P47" s="106"/>
      <c r="Q47" s="106"/>
      <c r="R47" s="106"/>
      <c r="S47" s="106"/>
      <c r="T47" s="106"/>
    </row>
    <row r="56" spans="13:13" x14ac:dyDescent="0.35">
      <c r="M56" s="195"/>
    </row>
  </sheetData>
  <sheetProtection password="BEE3" sheet="1" insertRows="0" selectLockedCells="1"/>
  <mergeCells count="30">
    <mergeCell ref="H4:L8"/>
    <mergeCell ref="H25:S26"/>
    <mergeCell ref="H17:S17"/>
    <mergeCell ref="B17:F17"/>
    <mergeCell ref="B16:F16"/>
    <mergeCell ref="E9:F9"/>
    <mergeCell ref="H18:S18"/>
    <mergeCell ref="H21:S21"/>
    <mergeCell ref="H24:S24"/>
    <mergeCell ref="H19:S20"/>
    <mergeCell ref="H22:S23"/>
    <mergeCell ref="H16:S16"/>
    <mergeCell ref="B27:F27"/>
    <mergeCell ref="B28:F29"/>
    <mergeCell ref="B30:F46"/>
    <mergeCell ref="E10:F10"/>
    <mergeCell ref="E13:F13"/>
    <mergeCell ref="E14:F14"/>
    <mergeCell ref="B15:D15"/>
    <mergeCell ref="E15:F15"/>
    <mergeCell ref="B2:F2"/>
    <mergeCell ref="B4:D4"/>
    <mergeCell ref="E4:F4"/>
    <mergeCell ref="B5:B8"/>
    <mergeCell ref="C5:C8"/>
    <mergeCell ref="D5:D8"/>
    <mergeCell ref="E5:F6"/>
    <mergeCell ref="E7:F8"/>
    <mergeCell ref="B3:C3"/>
    <mergeCell ref="D3:F3"/>
  </mergeCells>
  <dataValidations xWindow="433" yWindow="1158" count="2">
    <dataValidation allowBlank="1" showInputMessage="1" showErrorMessage="1" prompt="Insert additional lines, if required" sqref="B10:B14" xr:uid="{00000000-0002-0000-0300-000000000000}"/>
    <dataValidation allowBlank="1" showInputMessage="1" showErrorMessage="1" promptTitle="NOTE: " prompt="Please only fill in this field if your product qualifies under the Manufacturing Process found in the Product Specific Rules of the FTA. Else, please leave this field empty. _x000a_" sqref="B30:F46" xr:uid="{00000000-0002-0000-0300-000001000000}"/>
  </dataValidations>
  <pageMargins left="0.7" right="0.7" top="0.75" bottom="0.75" header="0.3" footer="0.3"/>
  <pageSetup scale="70" orientation="portrait" r:id="rId1"/>
  <drawing r:id="rId2"/>
  <legacyDrawing r:id="rId3"/>
  <extLst>
    <ext xmlns:x14="http://schemas.microsoft.com/office/spreadsheetml/2009/9/main" uri="{CCE6A557-97BC-4b89-ADB6-D9C93CAAB3DF}">
      <x14:dataValidations xmlns:xm="http://schemas.microsoft.com/office/excel/2006/main" xWindow="433" yWindow="1158" count="2">
        <x14:dataValidation type="list" allowBlank="1" showErrorMessage="1" error="Please choose the appropriate Change in Tariff Classification requirement from the dropdown list" xr:uid="{00000000-0002-0000-0300-000002000000}">
          <x14:formula1>
            <xm:f>'List of FTAs'!$I$5:$I$7</xm:f>
          </x14:formula1>
          <xm:sqref>E4:F4</xm:sqref>
        </x14:dataValidation>
        <x14:dataValidation type="list" showInputMessage="1" showErrorMessage="1" error="Check against the legal text of the Free Trade Agreement before selecting the appropriate 'de minimis' rule" xr:uid="{00000000-0002-0000-0300-000003000000}">
          <x14:formula1>
            <xm:f>'List of FTAs'!$I$9:$I$10</xm:f>
          </x14:formula1>
          <xm:sqref>F7:F8 E7:E8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3"/>
  <sheetViews>
    <sheetView workbookViewId="0">
      <selection activeCell="B8" sqref="B8"/>
    </sheetView>
  </sheetViews>
  <sheetFormatPr defaultRowHeight="14.5" x14ac:dyDescent="0.35"/>
  <sheetData>
    <row r="1" spans="1:1" x14ac:dyDescent="0.35">
      <c r="A1" t="s">
        <v>41</v>
      </c>
    </row>
    <row r="2" spans="1:1" x14ac:dyDescent="0.35">
      <c r="A2" t="s">
        <v>40</v>
      </c>
    </row>
    <row r="3" spans="1:1" x14ac:dyDescent="0.35">
      <c r="A3" t="s">
        <v>39</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3"/>
  <sheetViews>
    <sheetView workbookViewId="0">
      <selection activeCell="I16" sqref="I16"/>
    </sheetView>
  </sheetViews>
  <sheetFormatPr defaultRowHeight="14.5" x14ac:dyDescent="0.35"/>
  <sheetData>
    <row r="1" spans="1:1" x14ac:dyDescent="0.35">
      <c r="A1" t="s">
        <v>43</v>
      </c>
    </row>
    <row r="2" spans="1:1" x14ac:dyDescent="0.35">
      <c r="A2" t="s">
        <v>44</v>
      </c>
    </row>
    <row r="3" spans="1:1" x14ac:dyDescent="0.35">
      <c r="A3" t="s">
        <v>45</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2"/>
  <sheetViews>
    <sheetView workbookViewId="0">
      <selection activeCell="A3" sqref="A3"/>
    </sheetView>
  </sheetViews>
  <sheetFormatPr defaultRowHeight="14.5" x14ac:dyDescent="0.35"/>
  <sheetData>
    <row r="1" spans="1:1" x14ac:dyDescent="0.35">
      <c r="A1" t="s">
        <v>37</v>
      </c>
    </row>
    <row r="2" spans="1:1" x14ac:dyDescent="0.35">
      <c r="A2" t="s">
        <v>38</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1"/>
  <dimension ref="A1:K31"/>
  <sheetViews>
    <sheetView workbookViewId="0">
      <selection activeCell="C18" sqref="C18"/>
    </sheetView>
  </sheetViews>
  <sheetFormatPr defaultRowHeight="14.5" x14ac:dyDescent="0.35"/>
  <cols>
    <col min="1" max="1" width="72.26953125" customWidth="1"/>
    <col min="9" max="9" width="17.26953125" bestFit="1" customWidth="1"/>
  </cols>
  <sheetData>
    <row r="1" spans="1:9" x14ac:dyDescent="0.35">
      <c r="A1" s="1" t="s">
        <v>8</v>
      </c>
      <c r="I1" s="1" t="s">
        <v>25</v>
      </c>
    </row>
    <row r="2" spans="1:9" x14ac:dyDescent="0.35">
      <c r="A2" s="4" t="s">
        <v>26</v>
      </c>
      <c r="I2" t="s">
        <v>2</v>
      </c>
    </row>
    <row r="3" spans="1:9" x14ac:dyDescent="0.35">
      <c r="A3" t="s">
        <v>10</v>
      </c>
      <c r="I3" t="s">
        <v>1</v>
      </c>
    </row>
    <row r="4" spans="1:9" x14ac:dyDescent="0.35">
      <c r="A4" t="s">
        <v>13</v>
      </c>
    </row>
    <row r="5" spans="1:9" x14ac:dyDescent="0.35">
      <c r="A5" t="s">
        <v>11</v>
      </c>
      <c r="I5" t="s">
        <v>118</v>
      </c>
    </row>
    <row r="6" spans="1:9" x14ac:dyDescent="0.35">
      <c r="A6" t="s">
        <v>14</v>
      </c>
      <c r="I6" t="s">
        <v>40</v>
      </c>
    </row>
    <row r="7" spans="1:9" x14ac:dyDescent="0.35">
      <c r="A7" t="s">
        <v>15</v>
      </c>
      <c r="I7" t="s">
        <v>47</v>
      </c>
    </row>
    <row r="8" spans="1:9" x14ac:dyDescent="0.35">
      <c r="A8" t="s">
        <v>16</v>
      </c>
    </row>
    <row r="9" spans="1:9" x14ac:dyDescent="0.35">
      <c r="A9" t="s">
        <v>231</v>
      </c>
      <c r="I9" t="s">
        <v>119</v>
      </c>
    </row>
    <row r="10" spans="1:9" x14ac:dyDescent="0.35">
      <c r="A10" t="s">
        <v>17</v>
      </c>
      <c r="I10" t="s">
        <v>38</v>
      </c>
    </row>
    <row r="11" spans="1:9" x14ac:dyDescent="0.35">
      <c r="A11" t="s">
        <v>24</v>
      </c>
      <c r="I11" t="s">
        <v>7</v>
      </c>
    </row>
    <row r="12" spans="1:9" x14ac:dyDescent="0.35">
      <c r="A12" t="s">
        <v>12</v>
      </c>
      <c r="I12" t="s">
        <v>190</v>
      </c>
    </row>
    <row r="13" spans="1:9" x14ac:dyDescent="0.35">
      <c r="A13" t="s">
        <v>18</v>
      </c>
    </row>
    <row r="14" spans="1:9" x14ac:dyDescent="0.35">
      <c r="A14" t="s">
        <v>19</v>
      </c>
    </row>
    <row r="15" spans="1:9" x14ac:dyDescent="0.35">
      <c r="A15" t="s">
        <v>20</v>
      </c>
    </row>
    <row r="16" spans="1:9" x14ac:dyDescent="0.35">
      <c r="A16" t="s">
        <v>112</v>
      </c>
    </row>
    <row r="17" spans="1:11" x14ac:dyDescent="0.35">
      <c r="A17" t="s">
        <v>21</v>
      </c>
    </row>
    <row r="18" spans="1:11" x14ac:dyDescent="0.35">
      <c r="A18" t="s">
        <v>23</v>
      </c>
    </row>
    <row r="19" spans="1:11" x14ac:dyDescent="0.35">
      <c r="A19" t="s">
        <v>22</v>
      </c>
    </row>
    <row r="20" spans="1:11" x14ac:dyDescent="0.35">
      <c r="A20" t="s">
        <v>9</v>
      </c>
    </row>
    <row r="24" spans="1:11" x14ac:dyDescent="0.35">
      <c r="A24" t="str">
        <f>IF( SUM('Manufacturing Cost Statement'!H35,'Manufacturing Cost Statement'!I35,'Manufacturing Cost Statement'!I36,'Manufacturing Cost Statement'!I37,'Manufacturing Cost Statement'!I38,'Manufacturing Cost Statement'!I39) ='Manufacturing Cost Statement'!E19, " (QVC/RVC)", "")</f>
        <v xml:space="preserve"> (QVC/RVC)</v>
      </c>
      <c r="G24" s="160" t="s">
        <v>191</v>
      </c>
      <c r="K24" t="s">
        <v>36</v>
      </c>
    </row>
    <row r="31" spans="1:11" x14ac:dyDescent="0.35">
      <c r="H31" t="s">
        <v>192</v>
      </c>
    </row>
  </sheetData>
  <conditionalFormatting sqref="B48:XFD61 A49:A62">
    <cfRule type="expression" dxfId="13" priority="14">
      <formula>#REF!=#REF!</formula>
    </cfRule>
  </conditionalFormatting>
  <conditionalFormatting sqref="F51 B41:XFD47 A42:A48 B55:XFD61 A56:A62">
    <cfRule type="expression" dxfId="12" priority="13">
      <formula>#REF!=$A$13</formula>
    </cfRule>
  </conditionalFormatting>
  <conditionalFormatting sqref="C44:G44 C49">
    <cfRule type="expression" dxfId="11" priority="12">
      <formula>#REF! = $A$4</formula>
    </cfRule>
  </conditionalFormatting>
  <conditionalFormatting sqref="B44:G44">
    <cfRule type="expression" dxfId="10" priority="11">
      <formula>#REF! = $A$4</formula>
    </cfRule>
  </conditionalFormatting>
  <conditionalFormatting sqref="B51:XFD63 A52:A64">
    <cfRule type="expression" dxfId="9" priority="10">
      <formula>#REF! = $A$3</formula>
    </cfRule>
  </conditionalFormatting>
  <conditionalFormatting sqref="B49:C49">
    <cfRule type="expression" dxfId="8" priority="18">
      <formula>#REF! = $A$4</formula>
    </cfRule>
  </conditionalFormatting>
  <conditionalFormatting sqref="B58:G58 C63">
    <cfRule type="expression" dxfId="7" priority="25">
      <formula>#REF! = $A$4</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5" id="{05F8469B-5289-40EB-9147-5673BC57F009}">
            <xm:f>'Manufacturing Cost Statement'!#REF! = #REF!</xm:f>
            <x14:dxf>
              <font>
                <color theme="0"/>
              </font>
              <fill>
                <patternFill>
                  <bgColor theme="0"/>
                </patternFill>
              </fill>
            </x14:dxf>
          </x14:cfRule>
          <x14:cfRule type="expression" priority="36" id="{55C94731-499E-4927-A8D8-0D5B57BC4F00}">
            <xm:f>'Manufacturing Cost Statement'!#REF! = #REF!</xm:f>
            <x14:dxf>
              <font>
                <color theme="0"/>
              </font>
              <fill>
                <patternFill>
                  <bgColor theme="0"/>
                </patternFill>
              </fill>
            </x14:dxf>
          </x14:cfRule>
          <xm:sqref>B46:G49</xm:sqref>
        </x14:conditionalFormatting>
        <x14:conditionalFormatting xmlns:xm="http://schemas.microsoft.com/office/excel/2006/main">
          <x14:cfRule type="expression" priority="37" id="{8489BE0D-9E50-4A2D-A58F-389500DD881F}">
            <xm:f>'Manufacturing Cost Statement'!#REF! =$A$10</xm:f>
            <x14:dxf>
              <font>
                <color theme="0"/>
              </font>
              <fill>
                <patternFill>
                  <bgColor theme="0"/>
                </patternFill>
              </fill>
            </x14:dxf>
          </x14:cfRule>
          <xm:sqref>B48:G49 B44:G45</xm:sqref>
        </x14:conditionalFormatting>
        <x14:conditionalFormatting xmlns:xm="http://schemas.microsoft.com/office/excel/2006/main">
          <x14:cfRule type="expression" priority="39" id="{A7DA9E0E-1386-4C83-AC2F-DFBE42707A05}">
            <xm:f>'Manufacturing Cost Statement'!#REF! = $A$13</xm:f>
            <x14:dxf>
              <font>
                <color theme="0"/>
              </font>
              <fill>
                <patternFill>
                  <bgColor theme="0"/>
                </patternFill>
              </fill>
            </x14:dxf>
          </x14:cfRule>
          <xm:sqref>B48:G49 B44:G45</xm:sqref>
        </x14:conditionalFormatting>
        <x14:conditionalFormatting xmlns:xm="http://schemas.microsoft.com/office/excel/2006/main">
          <x14:cfRule type="expression" priority="41" id="{FE579AC0-A987-44A3-8A78-C42294B332DA}">
            <xm:f>'Manufacturing Cost Statement'!#REF! = $A$15</xm:f>
            <x14:dxf>
              <font>
                <color theme="0"/>
              </font>
              <fill>
                <patternFill>
                  <bgColor theme="0"/>
                </patternFill>
              </fill>
            </x14:dxf>
          </x14:cfRule>
          <xm:sqref>B48:G49 B44:G45</xm:sqref>
        </x14:conditionalFormatting>
        <x14:conditionalFormatting xmlns:xm="http://schemas.microsoft.com/office/excel/2006/main">
          <x14:cfRule type="expression" priority="43" id="{F5FAA929-7959-4D66-81AB-B4C9CF64CA95}">
            <xm:f>'Manufacturing Cost Statement'!#REF! = $A$14</xm:f>
            <x14:dxf>
              <font>
                <color theme="0"/>
              </font>
              <fill>
                <patternFill>
                  <bgColor theme="0"/>
                </patternFill>
              </fill>
            </x14:dxf>
          </x14:cfRule>
          <xm:sqref>B48:G49 B44:G45 D53</xm:sqref>
        </x14:conditionalFormatting>
        <x14:conditionalFormatting xmlns:xm="http://schemas.microsoft.com/office/excel/2006/main">
          <x14:cfRule type="expression" priority="45" id="{D9DAB15D-B5F9-4593-8524-AFE0686AB60F}">
            <xm:f>'Manufacturing Cost Statement'!#REF! = $A$11</xm:f>
            <x14:dxf>
              <font>
                <color theme="0"/>
              </font>
              <fill>
                <patternFill>
                  <bgColor theme="0"/>
                </patternFill>
              </fill>
            </x14:dxf>
          </x14:cfRule>
          <xm:sqref>B48:G49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3"/>
  <sheetViews>
    <sheetView workbookViewId="0">
      <selection activeCell="B9" sqref="B9"/>
    </sheetView>
  </sheetViews>
  <sheetFormatPr defaultRowHeight="14.5" x14ac:dyDescent="0.35"/>
  <sheetData>
    <row r="1" spans="1:1" x14ac:dyDescent="0.35">
      <c r="A1" t="s">
        <v>41</v>
      </c>
    </row>
    <row r="2" spans="1:1" x14ac:dyDescent="0.35">
      <c r="A2" t="s">
        <v>40</v>
      </c>
    </row>
    <row r="3" spans="1:1" x14ac:dyDescent="0.35">
      <c r="A3" t="s">
        <v>47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Checklist &amp; Resources</vt:lpstr>
      <vt:lpstr>Detailed MCS Guide</vt:lpstr>
      <vt:lpstr>Manufacturing Cost Statement</vt:lpstr>
      <vt:lpstr>DMS &amp; Manufacturing Process</vt:lpstr>
      <vt:lpstr>Sheet2</vt:lpstr>
      <vt:lpstr>Sheet1</vt:lpstr>
      <vt:lpstr>Sheet3</vt:lpstr>
      <vt:lpstr>List of FTAs</vt:lpstr>
      <vt:lpstr>Sheet4</vt:lpstr>
      <vt:lpstr>'DMS &amp; Manufacturing Process'!Print_Area</vt:lpstr>
      <vt:lpstr>'Manufacturing Cost Statement'!Print_Area</vt:lpstr>
    </vt:vector>
  </TitlesOfParts>
  <Company>Singapore Government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ROO Section</dc:creator>
  <cp:lastModifiedBy>TTSB </cp:lastModifiedBy>
  <cp:lastPrinted>2019-04-12T04:37:08Z</cp:lastPrinted>
  <dcterms:created xsi:type="dcterms:W3CDTF">2015-10-31T01:45:20Z</dcterms:created>
  <dcterms:modified xsi:type="dcterms:W3CDTF">2020-06-01T03:11:39Z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f9331f7-95a2-472a-92bc-d73219eb516b_Enabled">
    <vt:lpwstr>True</vt:lpwstr>
  </property>
  <property fmtid="{D5CDD505-2E9C-101B-9397-08002B2CF9AE}" pid="3" name="MSIP_Label_3f9331f7-95a2-472a-92bc-d73219eb516b_SiteId">
    <vt:lpwstr>0b11c524-9a1c-4e1b-84cb-6336aefc2243</vt:lpwstr>
  </property>
  <property fmtid="{D5CDD505-2E9C-101B-9397-08002B2CF9AE}" pid="4" name="MSIP_Label_3f9331f7-95a2-472a-92bc-d73219eb516b_Owner">
    <vt:lpwstr>HO_Sze_Hwei@customs.gov.sg</vt:lpwstr>
  </property>
  <property fmtid="{D5CDD505-2E9C-101B-9397-08002B2CF9AE}" pid="5" name="MSIP_Label_3f9331f7-95a2-472a-92bc-d73219eb516b_SetDate">
    <vt:lpwstr>2020-05-29T07:06:29.0509172Z</vt:lpwstr>
  </property>
  <property fmtid="{D5CDD505-2E9C-101B-9397-08002B2CF9AE}" pid="6" name="MSIP_Label_3f9331f7-95a2-472a-92bc-d73219eb516b_Name">
    <vt:lpwstr>CONFIDENTIAL</vt:lpwstr>
  </property>
  <property fmtid="{D5CDD505-2E9C-101B-9397-08002B2CF9AE}" pid="7" name="MSIP_Label_3f9331f7-95a2-472a-92bc-d73219eb516b_Application">
    <vt:lpwstr>Microsoft Azure Information Protection</vt:lpwstr>
  </property>
  <property fmtid="{D5CDD505-2E9C-101B-9397-08002B2CF9AE}" pid="8" name="MSIP_Label_3f9331f7-95a2-472a-92bc-d73219eb516b_ActionId">
    <vt:lpwstr>4b93fbfc-3a75-4237-aa9d-f42c25477bd6</vt:lpwstr>
  </property>
  <property fmtid="{D5CDD505-2E9C-101B-9397-08002B2CF9AE}" pid="9" name="MSIP_Label_3f9331f7-95a2-472a-92bc-d73219eb516b_Extended_MSFT_Method">
    <vt:lpwstr>Automatic</vt:lpwstr>
  </property>
  <property fmtid="{D5CDD505-2E9C-101B-9397-08002B2CF9AE}" pid="10" name="MSIP_Label_4f288355-fb4c-44cd-b9ca-40cfc2aee5f8_Enabled">
    <vt:lpwstr>True</vt:lpwstr>
  </property>
  <property fmtid="{D5CDD505-2E9C-101B-9397-08002B2CF9AE}" pid="11" name="MSIP_Label_4f288355-fb4c-44cd-b9ca-40cfc2aee5f8_SiteId">
    <vt:lpwstr>0b11c524-9a1c-4e1b-84cb-6336aefc2243</vt:lpwstr>
  </property>
  <property fmtid="{D5CDD505-2E9C-101B-9397-08002B2CF9AE}" pid="12" name="MSIP_Label_4f288355-fb4c-44cd-b9ca-40cfc2aee5f8_Owner">
    <vt:lpwstr>HO_Sze_Hwei@customs.gov.sg</vt:lpwstr>
  </property>
  <property fmtid="{D5CDD505-2E9C-101B-9397-08002B2CF9AE}" pid="13" name="MSIP_Label_4f288355-fb4c-44cd-b9ca-40cfc2aee5f8_SetDate">
    <vt:lpwstr>2020-05-29T07:06:29.0509172Z</vt:lpwstr>
  </property>
  <property fmtid="{D5CDD505-2E9C-101B-9397-08002B2CF9AE}" pid="14" name="MSIP_Label_4f288355-fb4c-44cd-b9ca-40cfc2aee5f8_Name">
    <vt:lpwstr>NON-SENSITIVE</vt:lpwstr>
  </property>
  <property fmtid="{D5CDD505-2E9C-101B-9397-08002B2CF9AE}" pid="15" name="MSIP_Label_4f288355-fb4c-44cd-b9ca-40cfc2aee5f8_Application">
    <vt:lpwstr>Microsoft Azure Information Protection</vt:lpwstr>
  </property>
  <property fmtid="{D5CDD505-2E9C-101B-9397-08002B2CF9AE}" pid="16" name="MSIP_Label_4f288355-fb4c-44cd-b9ca-40cfc2aee5f8_ActionId">
    <vt:lpwstr>4b93fbfc-3a75-4237-aa9d-f42c25477bd6</vt:lpwstr>
  </property>
  <property fmtid="{D5CDD505-2E9C-101B-9397-08002B2CF9AE}" pid="17" name="MSIP_Label_4f288355-fb4c-44cd-b9ca-40cfc2aee5f8_Parent">
    <vt:lpwstr>3f9331f7-95a2-472a-92bc-d73219eb516b</vt:lpwstr>
  </property>
  <property fmtid="{D5CDD505-2E9C-101B-9397-08002B2CF9AE}" pid="18" name="MSIP_Label_4f288355-fb4c-44cd-b9ca-40cfc2aee5f8_Extended_MSFT_Method">
    <vt:lpwstr>Automatic</vt:lpwstr>
  </property>
  <property fmtid="{D5CDD505-2E9C-101B-9397-08002B2CF9AE}" pid="19" name="Sensitivity">
    <vt:lpwstr>CONFIDENTIAL NON-SENSITIVE</vt:lpwstr>
  </property>
</Properties>
</file>